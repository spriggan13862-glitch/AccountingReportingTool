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Projects\accounting_tool\tests\fixtures\financials\"/>
    </mc:Choice>
  </mc:AlternateContent>
  <xr:revisionPtr revIDLastSave="0" documentId="13_ncr:1_{4826F8DF-0B4F-4447-AABC-F31E9314ECA9}" xr6:coauthVersionLast="47" xr6:coauthVersionMax="47" xr10:uidLastSave="{00000000-0000-0000-0000-000000000000}"/>
  <bookViews>
    <workbookView xWindow="3972" yWindow="4284" windowWidth="17280" windowHeight="8880" xr2:uid="{D368D230-5C3E-492E-BB7C-2E6F52378162}"/>
  </bookViews>
  <sheets>
    <sheet name="BS24" sheetId="3" r:id="rId1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'BS24'!$A:$G,'BS24'!$1:$1</definedName>
    <definedName name="QB_COLUMN_29" localSheetId="0" hidden="1">'BS24'!$H$1</definedName>
    <definedName name="QB_DATA_0" localSheetId="0" hidden="1">'BS24'!$6:$6,'BS24'!$7:$7,'BS24'!$8:$8,'BS24'!$9:$9,'BS24'!$10:$10,'BS24'!$11:$11,'BS24'!$12:$12,'BS24'!$13:$13,'BS24'!$14:$14,'BS24'!$19:$19,'BS24'!$23:$23,'BS24'!$25:$25,'BS24'!$26:$26,'BS24'!$27:$27,'BS24'!$28:$28,'BS24'!$31:$31</definedName>
    <definedName name="QB_DATA_1" localSheetId="0" hidden="1">'BS24'!$32:$32,'BS24'!$33:$33,'BS24'!$34:$34,'BS24'!$35:$35,'BS24'!$38:$38,'BS24'!$39:$39,'BS24'!$45:$45,'BS24'!$46:$46,'BS24'!$49:$49,'BS24'!$50:$50,'BS24'!$51:$51,'BS24'!$52:$52,'BS24'!$53:$53,'BS24'!$55:$55,'BS24'!$56:$56,'BS24'!$59:$59</definedName>
    <definedName name="QB_DATA_2" localSheetId="0" hidden="1">'BS24'!$67:$67,'BS24'!$72:$72,'BS24'!$73:$73,'BS24'!$74:$74,'BS24'!$75:$75,'BS24'!$76:$76,'BS24'!$77:$77,'BS24'!$78:$78,'BS24'!$79:$79,'BS24'!$84:$84,'BS24'!$86:$86,'BS24'!$88:$88,'BS24'!$89:$89,'BS24'!$90:$90,'BS24'!$92:$92,'BS24'!$95:$95</definedName>
    <definedName name="QB_DATA_3" localSheetId="0" hidden="1">'BS24'!$96:$96,'BS24'!$98:$98,'BS24'!$105:$105,'BS24'!$106:$106,'BS24'!$113:$113,'BS24'!$114:$114,'BS24'!$115:$115,'BS24'!$116:$116,'BS24'!$118:$118,'BS24'!$119:$119,'BS24'!$120:$120</definedName>
    <definedName name="QB_FORMULA_0" localSheetId="0" hidden="1">'BS24'!$H$15,'BS24'!$H$16,'BS24'!$H$20,'BS24'!$H$21,'BS24'!$H$29,'BS24'!$H$36,'BS24'!$H$40,'BS24'!$H$41,'BS24'!$H$42,'BS24'!$H$47,'BS24'!$H$54,'BS24'!$H$57,'BS24'!$H$60,'BS24'!$H$61,'BS24'!$H$68,'BS24'!$H$69</definedName>
    <definedName name="QB_FORMULA_1" localSheetId="0" hidden="1">'BS24'!$H$80,'BS24'!$H$81,'BS24'!$H$85,'BS24'!$H$91,'BS24'!$H$97,'BS24'!$H$99,'BS24'!$H$100,'BS24'!$H$101,'BS24'!$H$107,'BS24'!$H$108,'BS24'!$H$109,'BS24'!$H$110,'BS24'!$H$117,'BS24'!$H$121,'BS24'!$H$122</definedName>
    <definedName name="QB_ROW_1" localSheetId="0" hidden="1">'BS24'!$A$2</definedName>
    <definedName name="QB_ROW_10031" localSheetId="0" hidden="1">'BS24'!$D$65</definedName>
    <definedName name="QB_ROW_1011" localSheetId="0" hidden="1">'BS24'!$B$3</definedName>
    <definedName name="QB_ROW_10331" localSheetId="0" hidden="1">'BS24'!$D$69</definedName>
    <definedName name="QB_ROW_104230" localSheetId="0" hidden="1">'BS24'!$D$23</definedName>
    <definedName name="QB_ROW_11031" localSheetId="0" hidden="1">'BS24'!$D$70</definedName>
    <definedName name="QB_ROW_11331" localSheetId="0" hidden="1">'BS24'!$D$81</definedName>
    <definedName name="QB_ROW_12031" localSheetId="0" hidden="1">'BS24'!$D$82</definedName>
    <definedName name="QB_ROW_12331" localSheetId="0" hidden="1">'BS24'!$D$100</definedName>
    <definedName name="QB_ROW_13021" localSheetId="0" hidden="1">'BS24'!$C$102</definedName>
    <definedName name="QB_ROW_1311" localSheetId="0" hidden="1">'BS24'!$B$42</definedName>
    <definedName name="QB_ROW_13321" localSheetId="0" hidden="1">'BS24'!$C$109</definedName>
    <definedName name="QB_ROW_14011" localSheetId="0" hidden="1">'BS24'!$B$111</definedName>
    <definedName name="QB_ROW_14311" localSheetId="0" hidden="1">'BS24'!$B$121</definedName>
    <definedName name="QB_ROW_17221" localSheetId="0" hidden="1">'BS24'!$C$120</definedName>
    <definedName name="QB_ROW_174040" localSheetId="0" hidden="1">'BS24'!$E$71</definedName>
    <definedName name="QB_ROW_174250" localSheetId="0" hidden="1">'BS24'!$F$79</definedName>
    <definedName name="QB_ROW_174340" localSheetId="0" hidden="1">'BS24'!$E$80</definedName>
    <definedName name="QB_ROW_175250" localSheetId="0" hidden="1">'BS24'!$F$72</definedName>
    <definedName name="QB_ROW_180020" localSheetId="0" hidden="1">'BS24'!$C$112</definedName>
    <definedName name="QB_ROW_180320" localSheetId="0" hidden="1">'BS24'!$C$117</definedName>
    <definedName name="QB_ROW_181220" localSheetId="0" hidden="1">'BS24'!$C$118</definedName>
    <definedName name="QB_ROW_182230" localSheetId="0" hidden="1">'BS24'!$D$115</definedName>
    <definedName name="QB_ROW_183040" localSheetId="0" hidden="1">'BS24'!$E$104</definedName>
    <definedName name="QB_ROW_183340" localSheetId="0" hidden="1">'BS24'!$E$107</definedName>
    <definedName name="QB_ROW_188030" localSheetId="0" hidden="1">'BS24'!$D$103</definedName>
    <definedName name="QB_ROW_188330" localSheetId="0" hidden="1">'BS24'!$D$108</definedName>
    <definedName name="QB_ROW_195040" localSheetId="0" hidden="1">'BS24'!$E$83</definedName>
    <definedName name="QB_ROW_195340" localSheetId="0" hidden="1">'BS24'!$E$85</definedName>
    <definedName name="QB_ROW_2021" localSheetId="0" hidden="1">'BS24'!$C$4</definedName>
    <definedName name="QB_ROW_204250" localSheetId="0" hidden="1">'BS24'!$F$73</definedName>
    <definedName name="QB_ROW_207260" localSheetId="0" hidden="1">'BS24'!$G$95</definedName>
    <definedName name="QB_ROW_210240" localSheetId="0" hidden="1">'BS24'!$E$26</definedName>
    <definedName name="QB_ROW_213230" localSheetId="0" hidden="1">'BS24'!$D$49</definedName>
    <definedName name="QB_ROW_214230" localSheetId="0" hidden="1">'BS24'!$D$50</definedName>
    <definedName name="QB_ROW_215230" localSheetId="0" hidden="1">'BS24'!$D$51</definedName>
    <definedName name="QB_ROW_217230" localSheetId="0" hidden="1">'BS24'!$D$52</definedName>
    <definedName name="QB_ROW_222220" localSheetId="0" hidden="1">'BS24'!$C$56</definedName>
    <definedName name="QB_ROW_2321" localSheetId="0" hidden="1">'BS24'!$C$16</definedName>
    <definedName name="QB_ROW_233250" localSheetId="0" hidden="1">'BS24'!$F$88</definedName>
    <definedName name="QB_ROW_248230" localSheetId="0" hidden="1">'BS24'!$D$116</definedName>
    <definedName name="QB_ROW_249230" localSheetId="0" hidden="1">'BS24'!$D$113</definedName>
    <definedName name="QB_ROW_250230" localSheetId="0" hidden="1">'BS24'!$D$114</definedName>
    <definedName name="QB_ROW_255250" localSheetId="0" hidden="1">'BS24'!$F$98</definedName>
    <definedName name="QB_ROW_263250" localSheetId="0" hidden="1">'BS24'!$F$105</definedName>
    <definedName name="QB_ROW_267340" localSheetId="0" hidden="1">'BS24'!$E$92</definedName>
    <definedName name="QB_ROW_268040" localSheetId="0" hidden="1">'BS24'!$E$93</definedName>
    <definedName name="QB_ROW_268340" localSheetId="0" hidden="1">'BS24'!$E$99</definedName>
    <definedName name="QB_ROW_273030" localSheetId="0" hidden="1">'BS24'!$D$24</definedName>
    <definedName name="QB_ROW_273330" localSheetId="0" hidden="1">'BS24'!$D$29</definedName>
    <definedName name="QB_ROW_278240" localSheetId="0" hidden="1">'BS24'!$E$8</definedName>
    <definedName name="QB_ROW_280250" localSheetId="0" hidden="1">'BS24'!$F$74</definedName>
    <definedName name="QB_ROW_281250" localSheetId="0" hidden="1">'BS24'!$F$75</definedName>
    <definedName name="QB_ROW_28220" localSheetId="0" hidden="1">'BS24'!$C$119</definedName>
    <definedName name="QB_ROW_282240" localSheetId="0" hidden="1">'BS24'!$E$9</definedName>
    <definedName name="QB_ROW_285240" localSheetId="0" hidden="1">'BS24'!$E$10</definedName>
    <definedName name="QB_ROW_286240" localSheetId="0" hidden="1">'BS24'!$E$11</definedName>
    <definedName name="QB_ROW_292250" localSheetId="0" hidden="1">'BS24'!$F$89</definedName>
    <definedName name="QB_ROW_295250" localSheetId="0" hidden="1">'BS24'!$F$76</definedName>
    <definedName name="QB_ROW_30040" localSheetId="0" hidden="1">'BS24'!$E$87</definedName>
    <definedName name="QB_ROW_301" localSheetId="0" hidden="1">'BS24'!$A$61</definedName>
    <definedName name="QB_ROW_3021" localSheetId="0" hidden="1">'BS24'!$C$17</definedName>
    <definedName name="QB_ROW_30250" localSheetId="0" hidden="1">'BS24'!$F$90</definedName>
    <definedName name="QB_ROW_303240" localSheetId="0" hidden="1">'BS24'!$E$28</definedName>
    <definedName name="QB_ROW_30340" localSheetId="0" hidden="1">'BS24'!$E$91</definedName>
    <definedName name="QB_ROW_306240" localSheetId="0" hidden="1">'BS24'!$E$86</definedName>
    <definedName name="QB_ROW_310220" localSheetId="0" hidden="1">'BS24'!$C$59</definedName>
    <definedName name="QB_ROW_31030" localSheetId="0" hidden="1">'BS24'!$D$5</definedName>
    <definedName name="QB_ROW_31330" localSheetId="0" hidden="1">'BS24'!$D$15</definedName>
    <definedName name="QB_ROW_314250" localSheetId="0" hidden="1">'BS24'!$F$106</definedName>
    <definedName name="QB_ROW_317230" localSheetId="0" hidden="1">'BS24'!$D$53</definedName>
    <definedName name="QB_ROW_318240" localSheetId="0" hidden="1">'BS24'!$E$12</definedName>
    <definedName name="QB_ROW_319240" localSheetId="0" hidden="1">'BS24'!$E$13</definedName>
    <definedName name="QB_ROW_320240" localSheetId="0" hidden="1">'BS24'!$E$14</definedName>
    <definedName name="QB_ROW_322250" localSheetId="0" hidden="1">'BS24'!$F$84</definedName>
    <definedName name="QB_ROW_323250" localSheetId="0" hidden="1">'BS24'!$F$77</definedName>
    <definedName name="QB_ROW_327250" localSheetId="0" hidden="1">'BS24'!$F$78</definedName>
    <definedName name="QB_ROW_328240" localSheetId="0" hidden="1">'BS24'!$E$25</definedName>
    <definedName name="QB_ROW_3321" localSheetId="0" hidden="1">'BS24'!$C$21</definedName>
    <definedName name="QB_ROW_33240" localSheetId="0" hidden="1">'BS24'!$E$6</definedName>
    <definedName name="QB_ROW_4020" localSheetId="0" hidden="1">'BS24'!$C$44</definedName>
    <definedName name="QB_ROW_4021" localSheetId="0" hidden="1">'BS24'!$C$22</definedName>
    <definedName name="QB_ROW_42240" localSheetId="0" hidden="1">'BS24'!$E$7</definedName>
    <definedName name="QB_ROW_4320" localSheetId="0" hidden="1">'BS24'!$C$47</definedName>
    <definedName name="QB_ROW_4321" localSheetId="0" hidden="1">'BS24'!$C$41</definedName>
    <definedName name="QB_ROW_44030" localSheetId="0" hidden="1">'BS24'!$D$18</definedName>
    <definedName name="QB_ROW_44330" localSheetId="0" hidden="1">'BS24'!$D$20</definedName>
    <definedName name="QB_ROW_46240" localSheetId="0" hidden="1">'BS24'!$E$19</definedName>
    <definedName name="QB_ROW_5011" localSheetId="0" hidden="1">'BS24'!$B$43</definedName>
    <definedName name="QB_ROW_5220" localSheetId="0" hidden="1">'BS24'!$C$55</definedName>
    <definedName name="QB_ROW_52230" localSheetId="0" hidden="1">'BS24'!$D$45</definedName>
    <definedName name="QB_ROW_5311" localSheetId="0" hidden="1">'BS24'!$B$57</definedName>
    <definedName name="QB_ROW_54230" localSheetId="0" hidden="1">'BS24'!$D$46</definedName>
    <definedName name="QB_ROW_56030" localSheetId="0" hidden="1">'BS24'!$D$30</definedName>
    <definedName name="QB_ROW_56330" localSheetId="0" hidden="1">'BS24'!$D$36</definedName>
    <definedName name="QB_ROW_57240" localSheetId="0" hidden="1">'BS24'!$E$31</definedName>
    <definedName name="QB_ROW_58240" localSheetId="0" hidden="1">'BS24'!$E$32</definedName>
    <definedName name="QB_ROW_6011" localSheetId="0" hidden="1">'BS24'!$B$58</definedName>
    <definedName name="QB_ROW_60240" localSheetId="0" hidden="1">'BS24'!$E$33</definedName>
    <definedName name="QB_ROW_61240" localSheetId="0" hidden="1">'BS24'!$E$34</definedName>
    <definedName name="QB_ROW_62240" localSheetId="0" hidden="1">'BS24'!$E$35</definedName>
    <definedName name="QB_ROW_63030" localSheetId="0" hidden="1">'BS24'!$D$37</definedName>
    <definedName name="QB_ROW_6311" localSheetId="0" hidden="1">'BS24'!$B$60</definedName>
    <definedName name="QB_ROW_63330" localSheetId="0" hidden="1">'BS24'!$D$40</definedName>
    <definedName name="QB_ROW_65240" localSheetId="0" hidden="1">'BS24'!$E$27</definedName>
    <definedName name="QB_ROW_66240" localSheetId="0" hidden="1">'BS24'!$E$38</definedName>
    <definedName name="QB_ROW_67240" localSheetId="0" hidden="1">'BS24'!$E$39</definedName>
    <definedName name="QB_ROW_68020" localSheetId="0" hidden="1">'BS24'!$C$48</definedName>
    <definedName name="QB_ROW_68320" localSheetId="0" hidden="1">'BS24'!$C$54</definedName>
    <definedName name="QB_ROW_7001" localSheetId="0" hidden="1">'BS24'!$A$62</definedName>
    <definedName name="QB_ROW_7301" localSheetId="0" hidden="1">'BS24'!$A$122</definedName>
    <definedName name="QB_ROW_79040" localSheetId="0" hidden="1">'BS24'!$E$66</definedName>
    <definedName name="QB_ROW_79340" localSheetId="0" hidden="1">'BS24'!$E$68</definedName>
    <definedName name="QB_ROW_8011" localSheetId="0" hidden="1">'BS24'!$B$63</definedName>
    <definedName name="QB_ROW_8311" localSheetId="0" hidden="1">'BS24'!$B$110</definedName>
    <definedName name="QB_ROW_9021" localSheetId="0" hidden="1">'BS24'!$C$64</definedName>
    <definedName name="QB_ROW_9321" localSheetId="0" hidden="1">'BS24'!$C$101</definedName>
    <definedName name="QB_ROW_97050" localSheetId="0" hidden="1">'BS24'!$F$94</definedName>
    <definedName name="QB_ROW_97260" localSheetId="0" hidden="1">'BS24'!$G$96</definedName>
    <definedName name="QB_ROW_97350" localSheetId="0" hidden="1">'BS24'!$F$97</definedName>
    <definedName name="QB_ROW_98250" localSheetId="0" hidden="1">'BS24'!$F$67</definedName>
    <definedName name="QBCANSUPPORTUPDATE" localSheetId="0">TRUE</definedName>
    <definedName name="QBCOMPANYFILENAME" localSheetId="0">"C:\Quickbooks\Live Marketing, LLC 2020\live marketing, llc 2020.qbw"</definedName>
    <definedName name="QBENDDATE" localSheetId="0">20241231</definedName>
    <definedName name="QBHEADERSONSCREEN" localSheetId="0">FALSE</definedName>
    <definedName name="QBMETADATASIZE" localSheetId="0">6146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"733bd866eb064197bd087429e8f8f0d8"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9</definedName>
    <definedName name="QBREPORTSUBCOLAXIS" localSheetId="0">0</definedName>
    <definedName name="QBREPORTTYPE" localSheetId="0">5</definedName>
    <definedName name="QBROWHEADERS" localSheetId="0">7</definedName>
    <definedName name="QBSTARTDATE" localSheetId="0">20241231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H16" i="3"/>
  <c r="H20" i="3"/>
  <c r="H21" i="3"/>
  <c r="H29" i="3"/>
  <c r="H36" i="3"/>
  <c r="H40" i="3"/>
  <c r="H41" i="3"/>
  <c r="H42" i="3"/>
  <c r="H47" i="3"/>
  <c r="H54" i="3"/>
  <c r="H57" i="3"/>
  <c r="H60" i="3"/>
  <c r="H61" i="3"/>
  <c r="H68" i="3"/>
  <c r="H69" i="3"/>
  <c r="H80" i="3"/>
  <c r="H81" i="3"/>
  <c r="H85" i="3"/>
  <c r="H91" i="3"/>
  <c r="H97" i="3"/>
  <c r="H99" i="3"/>
  <c r="H100" i="3"/>
  <c r="H101" i="3"/>
  <c r="H107" i="3"/>
  <c r="H108" i="3"/>
  <c r="H109" i="3"/>
  <c r="H110" i="3"/>
  <c r="H117" i="3"/>
  <c r="H121" i="3"/>
  <c r="H122" i="3"/>
</calcChain>
</file>

<file path=xl/sharedStrings.xml><?xml version="1.0" encoding="utf-8"?>
<sst xmlns="http://schemas.openxmlformats.org/spreadsheetml/2006/main" count="122" uniqueCount="122">
  <si>
    <t>ASSETS</t>
  </si>
  <si>
    <t>Current Assets</t>
  </si>
  <si>
    <t>Checking/Savings</t>
  </si>
  <si>
    <t>1000 · Cash</t>
  </si>
  <si>
    <t>1000-02 · FHB - MLI Merch Acct# 7624</t>
  </si>
  <si>
    <t>1000-11 · IB -SILLOET - Op - Acct# 3101</t>
  </si>
  <si>
    <t>1000-13 · Bank of Tampa - PPP 2nd Acct</t>
  </si>
  <si>
    <t>1000-14 · FHB LM Payroll (2) 1230</t>
  </si>
  <si>
    <t>1000-15 · FHB - Depository Acct 1610</t>
  </si>
  <si>
    <t>1000-16 · FHB - Oper 2nd Acct 1826</t>
  </si>
  <si>
    <t>1000-18 · WealthFront - Live Marketing</t>
  </si>
  <si>
    <t>1000-19 · INB - LM Savings Acct 8916</t>
  </si>
  <si>
    <t>1000-20 · INB - LM Checking Acct 8522</t>
  </si>
  <si>
    <t>Total 1000 · Cash</t>
  </si>
  <si>
    <t>Total Checking/Savings</t>
  </si>
  <si>
    <t>Accounts Receivable</t>
  </si>
  <si>
    <t>1200 · Accounts Receivables</t>
  </si>
  <si>
    <t>1200-02 · A/R- Live Marketing</t>
  </si>
  <si>
    <t>Total 1200 · Accounts Receivables</t>
  </si>
  <si>
    <t>Total Accounts Receivable</t>
  </si>
  <si>
    <t>Other Current Assets</t>
  </si>
  <si>
    <t>12001 · Other Current Assets</t>
  </si>
  <si>
    <t>1200-17 · Due from Life Protected</t>
  </si>
  <si>
    <t>1206 · Allowance for Unapplied Credits</t>
  </si>
  <si>
    <t>1208 · Employee Advances</t>
  </si>
  <si>
    <t>1209 · Due From 7174 Holdings</t>
  </si>
  <si>
    <t>Total 12001 · Other Current Assets</t>
  </si>
  <si>
    <t>1300 · Inventory</t>
  </si>
  <si>
    <t>1300-01 · Paper</t>
  </si>
  <si>
    <t>1300-02 · Chargeable Materials</t>
  </si>
  <si>
    <t>1300-04 · TGH Inventory</t>
  </si>
  <si>
    <t>1300-05 · Roche Inventory</t>
  </si>
  <si>
    <t>1300-06 · Work in Process</t>
  </si>
  <si>
    <t>Total 1300 · Inventory</t>
  </si>
  <si>
    <t>1400 · Other Current  Assets</t>
  </si>
  <si>
    <t>1400-03 · Prepaid Expenses</t>
  </si>
  <si>
    <t>1400-04 · Deposits on Utility</t>
  </si>
  <si>
    <t>Total 1400 · Other Current  Assets</t>
  </si>
  <si>
    <t>Total Other Current Assets</t>
  </si>
  <si>
    <t>Total Current Assets</t>
  </si>
  <si>
    <t>Fixed Assets</t>
  </si>
  <si>
    <t>1500 · Furniture and Equipment</t>
  </si>
  <si>
    <t>1500-01 · Furniture</t>
  </si>
  <si>
    <t>1500-03 · Vehicles</t>
  </si>
  <si>
    <t>Total 1500 · Furniture and Equipment</t>
  </si>
  <si>
    <t>1600 · Fixed Assets</t>
  </si>
  <si>
    <t>1600-03 · Equipment &amp; Fixtures</t>
  </si>
  <si>
    <t>1600-04 · Computer Equipment</t>
  </si>
  <si>
    <t>1600-05 · Leasehold Improvements</t>
  </si>
  <si>
    <t>1600-07 · Software - Capitalized Costs</t>
  </si>
  <si>
    <t>1600-09 · Ryobi 920ST-5</t>
  </si>
  <si>
    <t>Total 1600 · Fixed Assets</t>
  </si>
  <si>
    <t>1700 · Accumulated Depreciation</t>
  </si>
  <si>
    <t>1701 · Accumulated Amortization</t>
  </si>
  <si>
    <t>Total Fixed Assets</t>
  </si>
  <si>
    <t>Other Assets</t>
  </si>
  <si>
    <t>1400-06 · Security Deposit for Ryobi Pres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</si>
  <si>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</si>
  <si>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</si>
  <si>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</si>
  <si>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</si>
  <si>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</si>
  <si>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</si>
  <si>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2000 · Accounts Payable</t>
  </si>
  <si>
    <t>2000-02 · AP - Live Marketing</t>
  </si>
  <si>
    <t>Total 2000 · Accounts Payable</t>
  </si>
  <si>
    <t>Total Accounts Payable</t>
  </si>
  <si>
    <t>Credit Cards</t>
  </si>
  <si>
    <t>2200 · Credit Cards</t>
  </si>
  <si>
    <t>2201 · CC - Amex Ex - Optima 32008</t>
  </si>
  <si>
    <t>2202 · CC - Amex Express Delta 75007</t>
  </si>
  <si>
    <t>2203 · Visa - Best Buy Citibank 2703</t>
  </si>
  <si>
    <t>2204 · Chase Bank - VISA Bonvoy 6125</t>
  </si>
  <si>
    <t>2205 · CC - AMEX Platinum - 22003</t>
  </si>
  <si>
    <t>2206 · CC - Amex Lowes 01005</t>
  </si>
  <si>
    <t>2207 · CC - PayPal Credit</t>
  </si>
  <si>
    <t>2200 · Credit Cards - Other</t>
  </si>
  <si>
    <t>Total 2200 · Credit Cards</t>
  </si>
  <si>
    <t>Total Credit Cards</t>
  </si>
  <si>
    <t>Other Current Liabilities</t>
  </si>
  <si>
    <t>2100 · Lines of Credit</t>
  </si>
  <si>
    <t>2103 · LOC - INB Bank</t>
  </si>
  <si>
    <t>Total 2100 · Lines of Credit</t>
  </si>
  <si>
    <t>2300 · Due To 7174 Holdings</t>
  </si>
  <si>
    <t>2500 · Payroll Liabilities</t>
  </si>
  <si>
    <t>2506 · Other Payroll Witholdings</t>
  </si>
  <si>
    <t>2509 · Payroll Clearing Account</t>
  </si>
  <si>
    <t>2500 · Payroll Liabilities - Other</t>
  </si>
  <si>
    <t>Total 2500 · Payroll Liabilities</t>
  </si>
  <si>
    <t>2520 · Other Current Liabilities</t>
  </si>
  <si>
    <t>2545 · Tax Liabilities</t>
  </si>
  <si>
    <t>2550 · Sales Tax Payable</t>
  </si>
  <si>
    <t>2560 · Federal Income Tax Payable</t>
  </si>
  <si>
    <t>Total 2545 · Tax Liabilities</t>
  </si>
  <si>
    <t>Total Other Current Liabilities</t>
  </si>
  <si>
    <t>Total Current Liabilities</t>
  </si>
  <si>
    <t>Long Term Liabilities</t>
  </si>
  <si>
    <t>2700 · Long Term Liabilities</t>
  </si>
  <si>
    <t>2600 · Notes Payable</t>
  </si>
  <si>
    <t>2611 · Note - EIDL COVID 19</t>
  </si>
  <si>
    <t>2615 · Note IFSC -  Ryobi  Press</t>
  </si>
  <si>
    <t>Total 2600 · Notes Payable</t>
  </si>
  <si>
    <t>Total 2700 · Long Term Liabilities</t>
  </si>
  <si>
    <t>Total Long Term Liabilities</t>
  </si>
  <si>
    <t>Total Liabilities</t>
  </si>
  <si>
    <t>Equity</t>
  </si>
  <si>
    <t>3020 · Live Marketing - Partner Equity</t>
  </si>
  <si>
    <t>3021 · LM Partner 1 Equity - JDR</t>
  </si>
  <si>
    <t>3022 · LM Partner 2 Equity - MFS</t>
  </si>
  <si>
    <t>3040 · LM Partner 1 Draws - JDR</t>
  </si>
  <si>
    <t>3041 · LM Partner 2 Draws - MFS</t>
  </si>
  <si>
    <t>Total 3020 · Live Marketing - Partner Equity</t>
  </si>
  <si>
    <t>3030 · Dividends Paid</t>
  </si>
  <si>
    <t>3200 · Retained Earnings</t>
  </si>
  <si>
    <t>Net Income</t>
  </si>
  <si>
    <t>Total Equity</t>
  </si>
  <si>
    <t>TOTAL LIABILITIES &amp; EQUITY</t>
  </si>
  <si>
    <t>Total 2550 · Sales Tax Payable</t>
  </si>
  <si>
    <t>2550 · Sales Tax Payable - Other</t>
  </si>
  <si>
    <t>2552 · Sales Tax Payable Prior Liabili</t>
  </si>
  <si>
    <t>12000 · Undeposited Funds</t>
  </si>
  <si>
    <t>Dec 31,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</si>
</sst>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4" fontId="1" fillId="0" borderId="3" xfId="0" applyNumberFormat="1" applyFont="1" applyBorder="1"/>
    <xf numFmtId="164" fontId="1" fillId="0" borderId="2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7236D17-59C6-42C9-BE29-1FBE11918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3073" name="FILTER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3074" name="HEADER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A7A4-AABC-4689-85F0-6112BDCD6DF6}">
  <sheetPr codeName="Sheet2"/>
  <dimension ref="A1:H123"/>
  <sheetViews>
    <sheetView tabSelected="1" workbookViewId="0">
      <pane xSplit="7" ySplit="1" topLeftCell="H2" activePane="bottomRight" state="frozenSplit"/>
      <selection activeCell="F11" sqref="F11"/>
      <selection pane="topRight" activeCell="F11" sqref="F11"/>
      <selection pane="bottomLeft" activeCell="F11" sqref="F11"/>
      <selection pane="bottomRight" activeCell="K4" sqref="K4"/>
    </sheetView>
  </sheetViews>
  <sheetFormatPr defaultRowHeight="14.4" x14ac:dyDescent="0.3"/>
  <cols>
    <col min="1" max="6" width="3" style="7" customWidth="1"/>
    <col min="7" max="7" width="29.21875" style="7" customWidth="1"/>
    <col min="8" max="8" width="11.33203125" bestFit="1" customWidth="1"/>
  </cols>
  <sheetData>
    <row r="1" spans="1:8" s="10" customFormat="1" ht="15" thickBot="1" x14ac:dyDescent="0.35">
      <c r="A1" s="8"/>
      <c r="B1" s="8"/>
      <c r="C1" s="8"/>
      <c r="D1" s="8"/>
      <c r="E1" s="8"/>
      <c r="F1" s="8"/>
      <c r="G1" s="8"/>
      <c r="H1" s="9" t="s">
        <v>121</v>
      </c>
    </row>
    <row r="2" spans="1:8" ht="15" thickTop="1" x14ac:dyDescent="0.3">
      <c r="A2" s="1" t="s">
        <v>0</v>
      </c>
      <c r="B2" s="1"/>
      <c r="C2" s="1"/>
      <c r="D2" s="1"/>
      <c r="E2" s="1"/>
      <c r="F2" s="1"/>
      <c r="G2" s="1"/>
      <c r="H2" s="2"/>
    </row>
    <row r="3" spans="1:8" x14ac:dyDescent="0.3">
      <c r="A3" s="1"/>
      <c r="B3" s="1" t="s">
        <v>1</v>
      </c>
      <c r="C3" s="1"/>
      <c r="D3" s="1"/>
      <c r="E3" s="1"/>
      <c r="F3" s="1"/>
      <c r="G3" s="1"/>
      <c r="H3" s="2"/>
    </row>
    <row r="4" spans="1:8" x14ac:dyDescent="0.3">
      <c r="A4" s="1"/>
      <c r="B4" s="1"/>
      <c r="C4" s="1" t="s">
        <v>2</v>
      </c>
      <c r="D4" s="1"/>
      <c r="E4" s="1"/>
      <c r="F4" s="1"/>
      <c r="G4" s="1"/>
      <c r="H4" s="2"/>
    </row>
    <row r="5" spans="1:8" x14ac:dyDescent="0.3">
      <c r="A5" s="1"/>
      <c r="B5" s="1"/>
      <c r="C5" s="1"/>
      <c r="D5" s="1" t="s">
        <v>3</v>
      </c>
      <c r="E5" s="1"/>
      <c r="F5" s="1"/>
      <c r="G5" s="1"/>
      <c r="H5" s="2"/>
    </row>
    <row r="6" spans="1:8" x14ac:dyDescent="0.3">
      <c r="A6" s="1"/>
      <c r="B6" s="1"/>
      <c r="C6" s="1"/>
      <c r="D6" s="1"/>
      <c r="E6" s="1" t="s">
        <v>4</v>
      </c>
      <c r="F6" s="1"/>
      <c r="G6" s="1"/>
      <c r="H6" s="2">
        <v>20.16</v>
      </c>
    </row>
    <row r="7" spans="1:8" x14ac:dyDescent="0.3">
      <c r="A7" s="1"/>
      <c r="B7" s="1"/>
      <c r="C7" s="1"/>
      <c r="D7" s="1"/>
      <c r="E7" s="1" t="s">
        <v>5</v>
      </c>
      <c r="F7" s="1"/>
      <c r="G7" s="1"/>
      <c r="H7" s="2">
        <v>2.38</v>
      </c>
    </row>
    <row r="8" spans="1:8" x14ac:dyDescent="0.3">
      <c r="A8" s="1"/>
      <c r="B8" s="1"/>
      <c r="C8" s="1"/>
      <c r="D8" s="1"/>
      <c r="E8" s="1" t="s">
        <v>6</v>
      </c>
      <c r="F8" s="1"/>
      <c r="G8" s="1"/>
      <c r="H8" s="2">
        <v>745.33</v>
      </c>
    </row>
    <row r="9" spans="1:8" x14ac:dyDescent="0.3">
      <c r="A9" s="1"/>
      <c r="B9" s="1"/>
      <c r="C9" s="1"/>
      <c r="D9" s="1"/>
      <c r="E9" s="1" t="s">
        <v>7</v>
      </c>
      <c r="F9" s="1"/>
      <c r="G9" s="1"/>
      <c r="H9" s="2">
        <v>-6656.68</v>
      </c>
    </row>
    <row r="10" spans="1:8" x14ac:dyDescent="0.3">
      <c r="A10" s="1"/>
      <c r="B10" s="1"/>
      <c r="C10" s="1"/>
      <c r="D10" s="1"/>
      <c r="E10" s="1" t="s">
        <v>8</v>
      </c>
      <c r="F10" s="1"/>
      <c r="G10" s="1"/>
      <c r="H10" s="2">
        <v>382.23</v>
      </c>
    </row>
    <row r="11" spans="1:8" x14ac:dyDescent="0.3">
      <c r="A11" s="1"/>
      <c r="B11" s="1"/>
      <c r="C11" s="1"/>
      <c r="D11" s="1"/>
      <c r="E11" s="1" t="s">
        <v>9</v>
      </c>
      <c r="F11" s="1"/>
      <c r="G11" s="1"/>
      <c r="H11" s="2">
        <v>-1428.8</v>
      </c>
    </row>
    <row r="12" spans="1:8" x14ac:dyDescent="0.3">
      <c r="A12" s="1"/>
      <c r="B12" s="1"/>
      <c r="C12" s="1"/>
      <c r="D12" s="1"/>
      <c r="E12" s="1" t="s">
        <v>10</v>
      </c>
      <c r="F12" s="1"/>
      <c r="G12" s="1"/>
      <c r="H12" s="2">
        <v>3068.39</v>
      </c>
    </row>
    <row r="13" spans="1:8" x14ac:dyDescent="0.3">
      <c r="A13" s="1"/>
      <c r="B13" s="1"/>
      <c r="C13" s="1"/>
      <c r="D13" s="1"/>
      <c r="E13" s="1" t="s">
        <v>11</v>
      </c>
      <c r="F13" s="1"/>
      <c r="G13" s="1"/>
      <c r="H13" s="2">
        <v>30248.46</v>
      </c>
    </row>
    <row r="14" spans="1:8" ht="15" thickBot="1" x14ac:dyDescent="0.35">
      <c r="A14" s="1"/>
      <c r="B14" s="1"/>
      <c r="C14" s="1"/>
      <c r="D14" s="1"/>
      <c r="E14" s="1" t="s">
        <v>12</v>
      </c>
      <c r="F14" s="1"/>
      <c r="G14" s="1"/>
      <c r="H14" s="2">
        <v>-20746.64</v>
      </c>
    </row>
    <row r="15" spans="1:8" ht="15" thickBot="1" x14ac:dyDescent="0.35">
      <c r="A15" s="1"/>
      <c r="B15" s="1"/>
      <c r="C15" s="1"/>
      <c r="D15" s="1" t="s">
        <v>13</v>
      </c>
      <c r="E15" s="1"/>
      <c r="F15" s="1"/>
      <c r="G15" s="1"/>
      <c r="H15" s="3">
        <f>ROUND(SUM(H5:H14),5)</f>
        <v>5634.83</v>
      </c>
    </row>
    <row r="16" spans="1:8" x14ac:dyDescent="0.3">
      <c r="A16" s="1"/>
      <c r="B16" s="1"/>
      <c r="C16" s="1" t="s">
        <v>14</v>
      </c>
      <c r="D16" s="1"/>
      <c r="E16" s="1"/>
      <c r="F16" s="1"/>
      <c r="G16" s="1"/>
      <c r="H16" s="2">
        <f>ROUND(H4+H15,5)</f>
        <v>5634.83</v>
      </c>
    </row>
    <row r="17" spans="1:8" x14ac:dyDescent="0.3">
      <c r="A17" s="1"/>
      <c r="B17" s="1"/>
      <c r="C17" s="1" t="s">
        <v>15</v>
      </c>
      <c r="D17" s="1"/>
      <c r="E17" s="1"/>
      <c r="F17" s="1"/>
      <c r="G17" s="1"/>
      <c r="H17" s="2"/>
    </row>
    <row r="18" spans="1:8" x14ac:dyDescent="0.3">
      <c r="A18" s="1"/>
      <c r="B18" s="1"/>
      <c r="C18" s="1"/>
      <c r="D18" s="1" t="s">
        <v>16</v>
      </c>
      <c r="E18" s="1"/>
      <c r="F18" s="1"/>
      <c r="G18" s="1"/>
      <c r="H18" s="2"/>
    </row>
    <row r="19" spans="1:8" ht="15" thickBot="1" x14ac:dyDescent="0.35">
      <c r="A19" s="1"/>
      <c r="B19" s="1"/>
      <c r="C19" s="1"/>
      <c r="D19" s="1"/>
      <c r="E19" s="1" t="s">
        <v>17</v>
      </c>
      <c r="F19" s="1"/>
      <c r="G19" s="1"/>
      <c r="H19" s="2">
        <v>367285.8</v>
      </c>
    </row>
    <row r="20" spans="1:8" ht="15" thickBot="1" x14ac:dyDescent="0.35">
      <c r="A20" s="1"/>
      <c r="B20" s="1"/>
      <c r="C20" s="1"/>
      <c r="D20" s="1" t="s">
        <v>18</v>
      </c>
      <c r="E20" s="1"/>
      <c r="F20" s="1"/>
      <c r="G20" s="1"/>
      <c r="H20" s="3">
        <f>ROUND(SUM(H18:H19),5)</f>
        <v>367285.8</v>
      </c>
    </row>
    <row r="21" spans="1:8" x14ac:dyDescent="0.3">
      <c r="A21" s="1"/>
      <c r="B21" s="1"/>
      <c r="C21" s="1" t="s">
        <v>19</v>
      </c>
      <c r="D21" s="1"/>
      <c r="E21" s="1"/>
      <c r="F21" s="1"/>
      <c r="G21" s="1"/>
      <c r="H21" s="2">
        <f>ROUND(H17+H20,5)</f>
        <v>367285.8</v>
      </c>
    </row>
    <row r="22" spans="1:8" x14ac:dyDescent="0.3">
      <c r="A22" s="1"/>
      <c r="B22" s="1"/>
      <c r="C22" s="1" t="s">
        <v>20</v>
      </c>
      <c r="D22" s="1"/>
      <c r="E22" s="1"/>
      <c r="F22" s="1"/>
      <c r="G22" s="1"/>
      <c r="H22" s="2"/>
    </row>
    <row r="23" spans="1:8" x14ac:dyDescent="0.3">
      <c r="A23" s="1"/>
      <c r="B23" s="1"/>
      <c r="C23" s="1"/>
      <c r="D23" s="1" t="s">
        <v>120</v>
      </c>
      <c r="E23" s="1"/>
      <c r="F23" s="1"/>
      <c r="G23" s="1"/>
      <c r="H23" s="2">
        <v>10415.6</v>
      </c>
    </row>
    <row r="24" spans="1:8" x14ac:dyDescent="0.3">
      <c r="A24" s="1"/>
      <c r="B24" s="1"/>
      <c r="C24" s="1"/>
      <c r="D24" s="1" t="s">
        <v>21</v>
      </c>
      <c r="E24" s="1"/>
      <c r="F24" s="1"/>
      <c r="G24" s="1"/>
      <c r="H24" s="2"/>
    </row>
    <row r="25" spans="1:8" x14ac:dyDescent="0.3">
      <c r="A25" s="1"/>
      <c r="B25" s="1"/>
      <c r="C25" s="1"/>
      <c r="D25" s="1"/>
      <c r="E25" s="1" t="s">
        <v>22</v>
      </c>
      <c r="F25" s="1"/>
      <c r="G25" s="1"/>
      <c r="H25" s="2">
        <v>61722.86</v>
      </c>
    </row>
    <row r="26" spans="1:8" x14ac:dyDescent="0.3">
      <c r="A26" s="1"/>
      <c r="B26" s="1"/>
      <c r="C26" s="1"/>
      <c r="D26" s="1"/>
      <c r="E26" s="1" t="s">
        <v>23</v>
      </c>
      <c r="F26" s="1"/>
      <c r="G26" s="1"/>
      <c r="H26" s="2">
        <v>-26231.05</v>
      </c>
    </row>
    <row r="27" spans="1:8" x14ac:dyDescent="0.3">
      <c r="A27" s="1"/>
      <c r="B27" s="1"/>
      <c r="C27" s="1"/>
      <c r="D27" s="1"/>
      <c r="E27" s="1" t="s">
        <v>24</v>
      </c>
      <c r="F27" s="1"/>
      <c r="G27" s="1"/>
      <c r="H27" s="2">
        <v>26289.09</v>
      </c>
    </row>
    <row r="28" spans="1:8" ht="15" thickBot="1" x14ac:dyDescent="0.35">
      <c r="A28" s="1"/>
      <c r="B28" s="1"/>
      <c r="C28" s="1"/>
      <c r="D28" s="1"/>
      <c r="E28" s="1" t="s">
        <v>25</v>
      </c>
      <c r="F28" s="1"/>
      <c r="G28" s="1"/>
      <c r="H28" s="4">
        <v>339300</v>
      </c>
    </row>
    <row r="29" spans="1:8" x14ac:dyDescent="0.3">
      <c r="A29" s="1"/>
      <c r="B29" s="1"/>
      <c r="C29" s="1"/>
      <c r="D29" s="1" t="s">
        <v>26</v>
      </c>
      <c r="E29" s="1"/>
      <c r="F29" s="1"/>
      <c r="G29" s="1"/>
      <c r="H29" s="2">
        <f>ROUND(SUM(H24:H28),5)</f>
        <v>401080.9</v>
      </c>
    </row>
    <row r="30" spans="1:8" x14ac:dyDescent="0.3">
      <c r="A30" s="1"/>
      <c r="B30" s="1"/>
      <c r="C30" s="1"/>
      <c r="D30" s="1" t="s">
        <v>27</v>
      </c>
      <c r="E30" s="1"/>
      <c r="F30" s="1"/>
      <c r="G30" s="1"/>
      <c r="H30" s="2"/>
    </row>
    <row r="31" spans="1:8" x14ac:dyDescent="0.3">
      <c r="A31" s="1"/>
      <c r="B31" s="1"/>
      <c r="C31" s="1"/>
      <c r="D31" s="1"/>
      <c r="E31" s="1" t="s">
        <v>28</v>
      </c>
      <c r="F31" s="1"/>
      <c r="G31" s="1"/>
      <c r="H31" s="2">
        <v>3197.73</v>
      </c>
    </row>
    <row r="32" spans="1:8" x14ac:dyDescent="0.3">
      <c r="A32" s="1"/>
      <c r="B32" s="1"/>
      <c r="C32" s="1"/>
      <c r="D32" s="1"/>
      <c r="E32" s="1" t="s">
        <v>29</v>
      </c>
      <c r="F32" s="1"/>
      <c r="G32" s="1"/>
      <c r="H32" s="2">
        <v>25790.74</v>
      </c>
    </row>
    <row r="33" spans="1:8" x14ac:dyDescent="0.3">
      <c r="A33" s="1"/>
      <c r="B33" s="1"/>
      <c r="C33" s="1"/>
      <c r="D33" s="1"/>
      <c r="E33" s="1" t="s">
        <v>30</v>
      </c>
      <c r="F33" s="1"/>
      <c r="G33" s="1"/>
      <c r="H33" s="2">
        <v>91979.53</v>
      </c>
    </row>
    <row r="34" spans="1:8" x14ac:dyDescent="0.3">
      <c r="A34" s="1"/>
      <c r="B34" s="1"/>
      <c r="C34" s="1"/>
      <c r="D34" s="1"/>
      <c r="E34" s="1" t="s">
        <v>31</v>
      </c>
      <c r="F34" s="1"/>
      <c r="G34" s="1"/>
      <c r="H34" s="2">
        <v>17190.849999999999</v>
      </c>
    </row>
    <row r="35" spans="1:8" ht="15" thickBot="1" x14ac:dyDescent="0.35">
      <c r="A35" s="1"/>
      <c r="B35" s="1"/>
      <c r="C35" s="1"/>
      <c r="D35" s="1"/>
      <c r="E35" s="1" t="s">
        <v>32</v>
      </c>
      <c r="F35" s="1"/>
      <c r="G35" s="1"/>
      <c r="H35" s="4">
        <v>320457.34000000003</v>
      </c>
    </row>
    <row r="36" spans="1:8" x14ac:dyDescent="0.3">
      <c r="A36" s="1"/>
      <c r="B36" s="1"/>
      <c r="C36" s="1"/>
      <c r="D36" s="1" t="s">
        <v>33</v>
      </c>
      <c r="E36" s="1"/>
      <c r="F36" s="1"/>
      <c r="G36" s="1"/>
      <c r="H36" s="2">
        <f>ROUND(SUM(H30:H35),5)</f>
        <v>458616.19</v>
      </c>
    </row>
    <row r="37" spans="1:8" x14ac:dyDescent="0.3">
      <c r="A37" s="1"/>
      <c r="B37" s="1"/>
      <c r="C37" s="1"/>
      <c r="D37" s="1" t="s">
        <v>34</v>
      </c>
      <c r="E37" s="1"/>
      <c r="F37" s="1"/>
      <c r="G37" s="1"/>
      <c r="H37" s="2"/>
    </row>
    <row r="38" spans="1:8" x14ac:dyDescent="0.3">
      <c r="A38" s="1"/>
      <c r="B38" s="1"/>
      <c r="C38" s="1"/>
      <c r="D38" s="1"/>
      <c r="E38" s="1" t="s">
        <v>35</v>
      </c>
      <c r="F38" s="1"/>
      <c r="G38" s="1"/>
      <c r="H38" s="2">
        <v>-13238.34</v>
      </c>
    </row>
    <row r="39" spans="1:8" ht="15" thickBot="1" x14ac:dyDescent="0.35">
      <c r="A39" s="1"/>
      <c r="B39" s="1"/>
      <c r="C39" s="1"/>
      <c r="D39" s="1"/>
      <c r="E39" s="1" t="s">
        <v>36</v>
      </c>
      <c r="F39" s="1"/>
      <c r="G39" s="1"/>
      <c r="H39" s="2">
        <v>21136.55</v>
      </c>
    </row>
    <row r="40" spans="1:8" ht="15" thickBot="1" x14ac:dyDescent="0.35">
      <c r="A40" s="1"/>
      <c r="B40" s="1"/>
      <c r="C40" s="1"/>
      <c r="D40" s="1" t="s">
        <v>37</v>
      </c>
      <c r="E40" s="1"/>
      <c r="F40" s="1"/>
      <c r="G40" s="1"/>
      <c r="H40" s="5">
        <f>ROUND(SUM(H37:H39),5)</f>
        <v>7898.21</v>
      </c>
    </row>
    <row r="41" spans="1:8" ht="15" thickBot="1" x14ac:dyDescent="0.35">
      <c r="A41" s="1"/>
      <c r="B41" s="1"/>
      <c r="C41" s="1" t="s">
        <v>38</v>
      </c>
      <c r="D41" s="1"/>
      <c r="E41" s="1"/>
      <c r="F41" s="1"/>
      <c r="G41" s="1"/>
      <c r="H41" s="3">
        <f>ROUND(SUM(H22:H23)+H29+H36+H40,5)</f>
        <v>878010.9</v>
      </c>
    </row>
    <row r="42" spans="1:8" x14ac:dyDescent="0.3">
      <c r="A42" s="1"/>
      <c r="B42" s="1" t="s">
        <v>39</v>
      </c>
      <c r="C42" s="1"/>
      <c r="D42" s="1"/>
      <c r="E42" s="1"/>
      <c r="F42" s="1"/>
      <c r="G42" s="1"/>
      <c r="H42" s="2">
        <f>ROUND(H3+H16+H21+H41,5)</f>
        <v>1250931.53</v>
      </c>
    </row>
    <row r="43" spans="1:8" x14ac:dyDescent="0.3">
      <c r="A43" s="1"/>
      <c r="B43" s="1" t="s">
        <v>40</v>
      </c>
      <c r="C43" s="1"/>
      <c r="D43" s="1"/>
      <c r="E43" s="1"/>
      <c r="F43" s="1"/>
      <c r="G43" s="1"/>
      <c r="H43" s="2"/>
    </row>
    <row r="44" spans="1:8" x14ac:dyDescent="0.3">
      <c r="A44" s="1"/>
      <c r="B44" s="1"/>
      <c r="C44" s="1" t="s">
        <v>41</v>
      </c>
      <c r="D44" s="1"/>
      <c r="E44" s="1"/>
      <c r="F44" s="1"/>
      <c r="G44" s="1"/>
      <c r="H44" s="2"/>
    </row>
    <row r="45" spans="1:8" x14ac:dyDescent="0.3">
      <c r="A45" s="1"/>
      <c r="B45" s="1"/>
      <c r="C45" s="1"/>
      <c r="D45" s="1" t="s">
        <v>42</v>
      </c>
      <c r="E45" s="1"/>
      <c r="F45" s="1"/>
      <c r="G45" s="1"/>
      <c r="H45" s="2">
        <v>127870.61</v>
      </c>
    </row>
    <row r="46" spans="1:8" ht="15" thickBot="1" x14ac:dyDescent="0.35">
      <c r="A46" s="1"/>
      <c r="B46" s="1"/>
      <c r="C46" s="1"/>
      <c r="D46" s="1" t="s">
        <v>43</v>
      </c>
      <c r="E46" s="1"/>
      <c r="F46" s="1"/>
      <c r="G46" s="1"/>
      <c r="H46" s="4">
        <v>100654.37</v>
      </c>
    </row>
    <row r="47" spans="1:8" x14ac:dyDescent="0.3">
      <c r="A47" s="1"/>
      <c r="B47" s="1"/>
      <c r="C47" s="1" t="s">
        <v>44</v>
      </c>
      <c r="D47" s="1"/>
      <c r="E47" s="1"/>
      <c r="F47" s="1"/>
      <c r="G47" s="1"/>
      <c r="H47" s="2">
        <f>ROUND(SUM(H44:H46),5)</f>
        <v>228524.98</v>
      </c>
    </row>
    <row r="48" spans="1:8" x14ac:dyDescent="0.3">
      <c r="A48" s="1"/>
      <c r="B48" s="1"/>
      <c r="C48" s="1" t="s">
        <v>45</v>
      </c>
      <c r="D48" s="1"/>
      <c r="E48" s="1"/>
      <c r="F48" s="1"/>
      <c r="G48" s="1"/>
      <c r="H48" s="2"/>
    </row>
    <row r="49" spans="1:8" x14ac:dyDescent="0.3">
      <c r="A49" s="1"/>
      <c r="B49" s="1"/>
      <c r="C49" s="1"/>
      <c r="D49" s="1" t="s">
        <v>46</v>
      </c>
      <c r="E49" s="1"/>
      <c r="F49" s="1"/>
      <c r="G49" s="1"/>
      <c r="H49" s="2">
        <v>692314.6</v>
      </c>
    </row>
    <row r="50" spans="1:8" x14ac:dyDescent="0.3">
      <c r="A50" s="1"/>
      <c r="B50" s="1"/>
      <c r="C50" s="1"/>
      <c r="D50" s="1" t="s">
        <v>47</v>
      </c>
      <c r="E50" s="1"/>
      <c r="F50" s="1"/>
      <c r="G50" s="1"/>
      <c r="H50" s="2">
        <v>42926.38</v>
      </c>
    </row>
    <row r="51" spans="1:8" x14ac:dyDescent="0.3">
      <c r="A51" s="1"/>
      <c r="B51" s="1"/>
      <c r="C51" s="1"/>
      <c r="D51" s="1" t="s">
        <v>48</v>
      </c>
      <c r="E51" s="1"/>
      <c r="F51" s="1"/>
      <c r="G51" s="1"/>
      <c r="H51" s="2">
        <v>269120.84000000003</v>
      </c>
    </row>
    <row r="52" spans="1:8" x14ac:dyDescent="0.3">
      <c r="A52" s="1"/>
      <c r="B52" s="1"/>
      <c r="C52" s="1"/>
      <c r="D52" s="1" t="s">
        <v>49</v>
      </c>
      <c r="E52" s="1"/>
      <c r="F52" s="1"/>
      <c r="G52" s="1"/>
      <c r="H52" s="2">
        <v>110550</v>
      </c>
    </row>
    <row r="53" spans="1:8" ht="15" thickBot="1" x14ac:dyDescent="0.35">
      <c r="A53" s="1"/>
      <c r="B53" s="1"/>
      <c r="C53" s="1"/>
      <c r="D53" s="1" t="s">
        <v>50</v>
      </c>
      <c r="E53" s="1"/>
      <c r="F53" s="1"/>
      <c r="G53" s="1"/>
      <c r="H53" s="4">
        <v>512000</v>
      </c>
    </row>
    <row r="54" spans="1:8" x14ac:dyDescent="0.3">
      <c r="A54" s="1"/>
      <c r="B54" s="1"/>
      <c r="C54" s="1" t="s">
        <v>51</v>
      </c>
      <c r="D54" s="1"/>
      <c r="E54" s="1"/>
      <c r="F54" s="1"/>
      <c r="G54" s="1"/>
      <c r="H54" s="2">
        <f>ROUND(SUM(H48:H53),5)</f>
        <v>1626911.82</v>
      </c>
    </row>
    <row r="55" spans="1:8" x14ac:dyDescent="0.3">
      <c r="A55" s="1"/>
      <c r="B55" s="1"/>
      <c r="C55" s="1" t="s">
        <v>52</v>
      </c>
      <c r="D55" s="1"/>
      <c r="E55" s="1"/>
      <c r="F55" s="1"/>
      <c r="G55" s="1"/>
      <c r="H55" s="2">
        <v>-252889.08</v>
      </c>
    </row>
    <row r="56" spans="1:8" ht="15" thickBot="1" x14ac:dyDescent="0.35">
      <c r="A56" s="1"/>
      <c r="B56" s="1"/>
      <c r="C56" s="1" t="s">
        <v>53</v>
      </c>
      <c r="D56" s="1"/>
      <c r="E56" s="1"/>
      <c r="F56" s="1"/>
      <c r="G56" s="1"/>
      <c r="H56" s="4">
        <v>-70662.429999999993</v>
      </c>
    </row>
    <row r="57" spans="1:8" x14ac:dyDescent="0.3">
      <c r="A57" s="1"/>
      <c r="B57" s="1" t="s">
        <v>54</v>
      </c>
      <c r="C57" s="1"/>
      <c r="D57" s="1"/>
      <c r="E57" s="1"/>
      <c r="F57" s="1"/>
      <c r="G57" s="1"/>
      <c r="H57" s="2">
        <f>ROUND(H43+H47+SUM(H54:H56),5)</f>
        <v>1531885.29</v>
      </c>
    </row>
    <row r="58" spans="1:8" x14ac:dyDescent="0.3">
      <c r="A58" s="1"/>
      <c r="B58" s="1" t="s">
        <v>55</v>
      </c>
      <c r="C58" s="1"/>
      <c r="D58" s="1"/>
      <c r="E58" s="1"/>
      <c r="F58" s="1"/>
      <c r="G58" s="1"/>
      <c r="H58" s="2"/>
    </row>
    <row r="59" spans="1:8" ht="15" thickBot="1" x14ac:dyDescent="0.35">
      <c r="A59" s="1"/>
      <c r="B59" s="1"/>
      <c r="C59" s="1" t="s">
        <v>56</v>
      </c>
      <c r="D59" s="1"/>
      <c r="E59" s="1"/>
      <c r="F59" s="1"/>
      <c r="G59" s="1"/>
      <c r="H59" s="2">
        <v>66860</v>
      </c>
    </row>
    <row r="60" spans="1:8" ht="15" thickBot="1" x14ac:dyDescent="0.35">
      <c r="A60" s="1"/>
      <c r="B60" s="1" t="s">
        <v>57</v>
      </c>
      <c r="C60" s="1"/>
      <c r="D60" s="1"/>
      <c r="E60" s="1"/>
      <c r="F60" s="1"/>
      <c r="G60" s="1"/>
      <c r="H60" s="5">
        <f>ROUND(SUM(H58:H59),5)</f>
        <v>66860</v>
      </c>
    </row>
    <row r="61" spans="1:8" s="7" customFormat="1" thickBot="1" x14ac:dyDescent="0.35">
      <c r="A61" s="1" t="s">
        <v>58</v>
      </c>
      <c r="B61" s="1"/>
      <c r="C61" s="1"/>
      <c r="D61" s="1"/>
      <c r="E61" s="1"/>
      <c r="F61" s="1"/>
      <c r="G61" s="1"/>
      <c r="H61" s="6">
        <f>ROUND(H2+H42+H57+H60,5)</f>
        <v>2849676.82</v>
      </c>
    </row>
    <row r="62" spans="1:8" ht="15" thickTop="1" x14ac:dyDescent="0.3">
      <c r="A62" s="1" t="s">
        <v>59</v>
      </c>
      <c r="B62" s="1"/>
      <c r="C62" s="1"/>
      <c r="D62" s="1"/>
      <c r="E62" s="1"/>
      <c r="F62" s="1"/>
      <c r="G62" s="1"/>
      <c r="H62" s="2"/>
    </row>
    <row r="63" spans="1:8" x14ac:dyDescent="0.3">
      <c r="A63" s="1"/>
      <c r="B63" s="1" t="s">
        <v>60</v>
      </c>
      <c r="C63" s="1"/>
      <c r="D63" s="1"/>
      <c r="E63" s="1"/>
      <c r="F63" s="1"/>
      <c r="G63" s="1"/>
      <c r="H63" s="2"/>
    </row>
    <row r="64" spans="1:8" x14ac:dyDescent="0.3">
      <c r="A64" s="1"/>
      <c r="B64" s="1"/>
      <c r="C64" s="1" t="s">
        <v>61</v>
      </c>
      <c r="D64" s="1"/>
      <c r="E64" s="1"/>
      <c r="F64" s="1"/>
      <c r="G64" s="1"/>
      <c r="H64" s="2"/>
    </row>
    <row r="65" spans="1:8" x14ac:dyDescent="0.3">
      <c r="A65" s="1"/>
      <c r="B65" s="1"/>
      <c r="C65" s="1"/>
      <c r="D65" s="1" t="s">
        <v>62</v>
      </c>
      <c r="E65" s="1"/>
      <c r="F65" s="1"/>
      <c r="G65" s="1"/>
      <c r="H65" s="2"/>
    </row>
    <row r="66" spans="1:8" x14ac:dyDescent="0.3">
      <c r="A66" s="1"/>
      <c r="B66" s="1"/>
      <c r="C66" s="1"/>
      <c r="D66" s="1"/>
      <c r="E66" s="1" t="s">
        <v>63</v>
      </c>
      <c r="F66" s="1"/>
      <c r="G66" s="1"/>
      <c r="H66" s="2"/>
    </row>
    <row r="67" spans="1:8" ht="15" thickBot="1" x14ac:dyDescent="0.35">
      <c r="A67" s="1"/>
      <c r="B67" s="1"/>
      <c r="C67" s="1"/>
      <c r="D67" s="1"/>
      <c r="E67" s="1"/>
      <c r="F67" s="1" t="s">
        <v>64</v>
      </c>
      <c r="G67" s="1"/>
      <c r="H67" s="2">
        <v>256130.7</v>
      </c>
    </row>
    <row r="68" spans="1:8" ht="15" thickBot="1" x14ac:dyDescent="0.35">
      <c r="A68" s="1"/>
      <c r="B68" s="1"/>
      <c r="C68" s="1"/>
      <c r="D68" s="1"/>
      <c r="E68" s="1" t="s">
        <v>65</v>
      </c>
      <c r="F68" s="1"/>
      <c r="G68" s="1"/>
      <c r="H68" s="3">
        <f>ROUND(SUM(H66:H67),5)</f>
        <v>256130.7</v>
      </c>
    </row>
    <row r="69" spans="1:8" x14ac:dyDescent="0.3">
      <c r="A69" s="1"/>
      <c r="B69" s="1"/>
      <c r="C69" s="1"/>
      <c r="D69" s="1" t="s">
        <v>66</v>
      </c>
      <c r="E69" s="1"/>
      <c r="F69" s="1"/>
      <c r="G69" s="1"/>
      <c r="H69" s="2">
        <f>ROUND(H65+H68,5)</f>
        <v>256130.7</v>
      </c>
    </row>
    <row r="70" spans="1:8" x14ac:dyDescent="0.3">
      <c r="A70" s="1"/>
      <c r="B70" s="1"/>
      <c r="C70" s="1"/>
      <c r="D70" s="1" t="s">
        <v>67</v>
      </c>
      <c r="E70" s="1"/>
      <c r="F70" s="1"/>
      <c r="G70" s="1"/>
      <c r="H70" s="2"/>
    </row>
    <row r="71" spans="1:8" x14ac:dyDescent="0.3">
      <c r="A71" s="1"/>
      <c r="B71" s="1"/>
      <c r="C71" s="1"/>
      <c r="D71" s="1"/>
      <c r="E71" s="1" t="s">
        <v>68</v>
      </c>
      <c r="F71" s="1"/>
      <c r="G71" s="1"/>
      <c r="H71" s="2"/>
    </row>
    <row r="72" spans="1:8" x14ac:dyDescent="0.3">
      <c r="A72" s="1"/>
      <c r="B72" s="1"/>
      <c r="C72" s="1"/>
      <c r="D72" s="1"/>
      <c r="E72" s="1"/>
      <c r="F72" s="1" t="s">
        <v>69</v>
      </c>
      <c r="G72" s="1"/>
      <c r="H72" s="2">
        <v>4917.66</v>
      </c>
    </row>
    <row r="73" spans="1:8" x14ac:dyDescent="0.3">
      <c r="A73" s="1"/>
      <c r="B73" s="1"/>
      <c r="C73" s="1"/>
      <c r="D73" s="1"/>
      <c r="E73" s="1"/>
      <c r="F73" s="1" t="s">
        <v>70</v>
      </c>
      <c r="G73" s="1"/>
      <c r="H73" s="2">
        <v>20810.099999999999</v>
      </c>
    </row>
    <row r="74" spans="1:8" x14ac:dyDescent="0.3">
      <c r="A74" s="1"/>
      <c r="B74" s="1"/>
      <c r="C74" s="1"/>
      <c r="D74" s="1"/>
      <c r="E74" s="1"/>
      <c r="F74" s="1" t="s">
        <v>71</v>
      </c>
      <c r="G74" s="1"/>
      <c r="H74" s="2">
        <v>5729.04</v>
      </c>
    </row>
    <row r="75" spans="1:8" x14ac:dyDescent="0.3">
      <c r="A75" s="1"/>
      <c r="B75" s="1"/>
      <c r="C75" s="1"/>
      <c r="D75" s="1"/>
      <c r="E75" s="1"/>
      <c r="F75" s="1" t="s">
        <v>72</v>
      </c>
      <c r="G75" s="1"/>
      <c r="H75" s="2">
        <v>8133.88</v>
      </c>
    </row>
    <row r="76" spans="1:8" x14ac:dyDescent="0.3">
      <c r="A76" s="1"/>
      <c r="B76" s="1"/>
      <c r="C76" s="1"/>
      <c r="D76" s="1"/>
      <c r="E76" s="1"/>
      <c r="F76" s="1" t="s">
        <v>73</v>
      </c>
      <c r="G76" s="1"/>
      <c r="H76" s="2">
        <v>1082.51</v>
      </c>
    </row>
    <row r="77" spans="1:8" x14ac:dyDescent="0.3">
      <c r="A77" s="1"/>
      <c r="B77" s="1"/>
      <c r="C77" s="1"/>
      <c r="D77" s="1"/>
      <c r="E77" s="1"/>
      <c r="F77" s="1" t="s">
        <v>74</v>
      </c>
      <c r="G77" s="1"/>
      <c r="H77" s="2">
        <v>4619.3900000000003</v>
      </c>
    </row>
    <row r="78" spans="1:8" x14ac:dyDescent="0.3">
      <c r="A78" s="1"/>
      <c r="B78" s="1"/>
      <c r="C78" s="1"/>
      <c r="D78" s="1"/>
      <c r="E78" s="1"/>
      <c r="F78" s="1" t="s">
        <v>75</v>
      </c>
      <c r="G78" s="1"/>
      <c r="H78" s="2">
        <v>1834.25</v>
      </c>
    </row>
    <row r="79" spans="1:8" ht="15" thickBot="1" x14ac:dyDescent="0.35">
      <c r="A79" s="1"/>
      <c r="B79" s="1"/>
      <c r="C79" s="1"/>
      <c r="D79" s="1"/>
      <c r="E79" s="1"/>
      <c r="F79" s="1" t="s">
        <v>76</v>
      </c>
      <c r="G79" s="1"/>
      <c r="H79" s="2">
        <v>179.47</v>
      </c>
    </row>
    <row r="80" spans="1:8" ht="15" thickBot="1" x14ac:dyDescent="0.35">
      <c r="A80" s="1"/>
      <c r="B80" s="1"/>
      <c r="C80" s="1"/>
      <c r="D80" s="1"/>
      <c r="E80" s="1" t="s">
        <v>77</v>
      </c>
      <c r="F80" s="1"/>
      <c r="G80" s="1"/>
      <c r="H80" s="3">
        <f>ROUND(SUM(H71:H79),5)</f>
        <v>47306.3</v>
      </c>
    </row>
    <row r="81" spans="1:8" x14ac:dyDescent="0.3">
      <c r="A81" s="1"/>
      <c r="B81" s="1"/>
      <c r="C81" s="1"/>
      <c r="D81" s="1" t="s">
        <v>78</v>
      </c>
      <c r="E81" s="1"/>
      <c r="F81" s="1"/>
      <c r="G81" s="1"/>
      <c r="H81" s="2">
        <f>ROUND(H70+H80,5)</f>
        <v>47306.3</v>
      </c>
    </row>
    <row r="82" spans="1:8" x14ac:dyDescent="0.3">
      <c r="A82" s="1"/>
      <c r="B82" s="1"/>
      <c r="C82" s="1"/>
      <c r="D82" s="1" t="s">
        <v>79</v>
      </c>
      <c r="E82" s="1"/>
      <c r="F82" s="1"/>
      <c r="G82" s="1"/>
      <c r="H82" s="2"/>
    </row>
    <row r="83" spans="1:8" x14ac:dyDescent="0.3">
      <c r="A83" s="1"/>
      <c r="B83" s="1"/>
      <c r="C83" s="1"/>
      <c r="D83" s="1"/>
      <c r="E83" s="1" t="s">
        <v>80</v>
      </c>
      <c r="F83" s="1"/>
      <c r="G83" s="1"/>
      <c r="H83" s="2"/>
    </row>
    <row r="84" spans="1:8" ht="15" thickBot="1" x14ac:dyDescent="0.35">
      <c r="A84" s="1"/>
      <c r="B84" s="1"/>
      <c r="C84" s="1"/>
      <c r="D84" s="1"/>
      <c r="E84" s="1"/>
      <c r="F84" s="1" t="s">
        <v>81</v>
      </c>
      <c r="G84" s="1"/>
      <c r="H84" s="4">
        <v>222852.69</v>
      </c>
    </row>
    <row r="85" spans="1:8" x14ac:dyDescent="0.3">
      <c r="A85" s="1"/>
      <c r="B85" s="1"/>
      <c r="C85" s="1"/>
      <c r="D85" s="1"/>
      <c r="E85" s="1" t="s">
        <v>82</v>
      </c>
      <c r="F85" s="1"/>
      <c r="G85" s="1"/>
      <c r="H85" s="2">
        <f>ROUND(SUM(H83:H84),5)</f>
        <v>222852.69</v>
      </c>
    </row>
    <row r="86" spans="1:8" x14ac:dyDescent="0.3">
      <c r="A86" s="1"/>
      <c r="B86" s="1"/>
      <c r="C86" s="1"/>
      <c r="D86" s="1"/>
      <c r="E86" s="1" t="s">
        <v>83</v>
      </c>
      <c r="F86" s="1"/>
      <c r="G86" s="1"/>
      <c r="H86" s="2">
        <v>30</v>
      </c>
    </row>
    <row r="87" spans="1:8" x14ac:dyDescent="0.3">
      <c r="A87" s="1"/>
      <c r="B87" s="1"/>
      <c r="C87" s="1"/>
      <c r="D87" s="1"/>
      <c r="E87" s="1" t="s">
        <v>84</v>
      </c>
      <c r="F87" s="1"/>
      <c r="G87" s="1"/>
      <c r="H87" s="2"/>
    </row>
    <row r="88" spans="1:8" x14ac:dyDescent="0.3">
      <c r="A88" s="1"/>
      <c r="B88" s="1"/>
      <c r="C88" s="1"/>
      <c r="D88" s="1"/>
      <c r="E88" s="1"/>
      <c r="F88" s="1" t="s">
        <v>85</v>
      </c>
      <c r="G88" s="1"/>
      <c r="H88" s="2">
        <v>1437.98</v>
      </c>
    </row>
    <row r="89" spans="1:8" x14ac:dyDescent="0.3">
      <c r="A89" s="1"/>
      <c r="B89" s="1"/>
      <c r="C89" s="1"/>
      <c r="D89" s="1"/>
      <c r="E89" s="1"/>
      <c r="F89" s="1" t="s">
        <v>86</v>
      </c>
      <c r="G89" s="1"/>
      <c r="H89" s="2">
        <v>-11386.44</v>
      </c>
    </row>
    <row r="90" spans="1:8" ht="15" thickBot="1" x14ac:dyDescent="0.35">
      <c r="A90" s="1"/>
      <c r="B90" s="1"/>
      <c r="C90" s="1"/>
      <c r="D90" s="1"/>
      <c r="E90" s="1"/>
      <c r="F90" s="1" t="s">
        <v>87</v>
      </c>
      <c r="G90" s="1"/>
      <c r="H90" s="4">
        <v>-100</v>
      </c>
    </row>
    <row r="91" spans="1:8" x14ac:dyDescent="0.3">
      <c r="A91" s="1"/>
      <c r="B91" s="1"/>
      <c r="C91" s="1"/>
      <c r="D91" s="1"/>
      <c r="E91" s="1" t="s">
        <v>88</v>
      </c>
      <c r="F91" s="1"/>
      <c r="G91" s="1"/>
      <c r="H91" s="2">
        <f>ROUND(SUM(H87:H90),5)</f>
        <v>-10048.459999999999</v>
      </c>
    </row>
    <row r="92" spans="1:8" x14ac:dyDescent="0.3">
      <c r="A92" s="1"/>
      <c r="B92" s="1"/>
      <c r="C92" s="1"/>
      <c r="D92" s="1"/>
      <c r="E92" s="1" t="s">
        <v>89</v>
      </c>
      <c r="F92" s="1"/>
      <c r="G92" s="1"/>
      <c r="H92" s="2">
        <v>30391.27</v>
      </c>
    </row>
    <row r="93" spans="1:8" x14ac:dyDescent="0.3">
      <c r="A93" s="1"/>
      <c r="B93" s="1"/>
      <c r="C93" s="1"/>
      <c r="D93" s="1"/>
      <c r="E93" s="1" t="s">
        <v>90</v>
      </c>
      <c r="F93" s="1"/>
      <c r="G93" s="1"/>
      <c r="H93" s="2"/>
    </row>
    <row r="94" spans="1:8" x14ac:dyDescent="0.3">
      <c r="A94" s="1"/>
      <c r="B94" s="1"/>
      <c r="C94" s="1"/>
      <c r="D94" s="1"/>
      <c r="E94" s="1"/>
      <c r="F94" s="1" t="s">
        <v>91</v>
      </c>
      <c r="G94" s="1"/>
      <c r="H94" s="2"/>
    </row>
    <row r="95" spans="1:8" x14ac:dyDescent="0.3">
      <c r="A95" s="1"/>
      <c r="B95" s="1"/>
      <c r="C95" s="1"/>
      <c r="D95" s="1"/>
      <c r="E95" s="1"/>
      <c r="F95" s="1"/>
      <c r="G95" s="1" t="s">
        <v>119</v>
      </c>
      <c r="H95" s="2">
        <v>-10945.43</v>
      </c>
    </row>
    <row r="96" spans="1:8" ht="15" thickBot="1" x14ac:dyDescent="0.35">
      <c r="A96" s="1"/>
      <c r="B96" s="1"/>
      <c r="C96" s="1"/>
      <c r="D96" s="1"/>
      <c r="E96" s="1"/>
      <c r="F96" s="1"/>
      <c r="G96" s="1" t="s">
        <v>118</v>
      </c>
      <c r="H96" s="4">
        <v>10408.73</v>
      </c>
    </row>
    <row r="97" spans="1:8" x14ac:dyDescent="0.3">
      <c r="A97" s="1"/>
      <c r="B97" s="1"/>
      <c r="C97" s="1"/>
      <c r="D97" s="1"/>
      <c r="E97" s="1"/>
      <c r="F97" s="1" t="s">
        <v>117</v>
      </c>
      <c r="G97" s="1"/>
      <c r="H97" s="2">
        <f>ROUND(SUM(H94:H96),5)</f>
        <v>-536.70000000000005</v>
      </c>
    </row>
    <row r="98" spans="1:8" ht="15" thickBot="1" x14ac:dyDescent="0.35">
      <c r="A98" s="1"/>
      <c r="B98" s="1"/>
      <c r="C98" s="1"/>
      <c r="D98" s="1"/>
      <c r="E98" s="1"/>
      <c r="F98" s="1" t="s">
        <v>92</v>
      </c>
      <c r="G98" s="1"/>
      <c r="H98" s="2">
        <v>3432.32</v>
      </c>
    </row>
    <row r="99" spans="1:8" ht="15" thickBot="1" x14ac:dyDescent="0.35">
      <c r="A99" s="1"/>
      <c r="B99" s="1"/>
      <c r="C99" s="1"/>
      <c r="D99" s="1"/>
      <c r="E99" s="1" t="s">
        <v>93</v>
      </c>
      <c r="F99" s="1"/>
      <c r="G99" s="1"/>
      <c r="H99" s="5">
        <f>ROUND(H93+SUM(H97:H98),5)</f>
        <v>2895.62</v>
      </c>
    </row>
    <row r="100" spans="1:8" ht="15" thickBot="1" x14ac:dyDescent="0.35">
      <c r="A100" s="1"/>
      <c r="B100" s="1"/>
      <c r="C100" s="1"/>
      <c r="D100" s="1" t="s">
        <v>94</v>
      </c>
      <c r="E100" s="1"/>
      <c r="F100" s="1"/>
      <c r="G100" s="1"/>
      <c r="H100" s="3">
        <f>ROUND(H82+SUM(H85:H86)+SUM(H91:H92)+H99,5)</f>
        <v>246121.12</v>
      </c>
    </row>
    <row r="101" spans="1:8" x14ac:dyDescent="0.3">
      <c r="A101" s="1"/>
      <c r="B101" s="1"/>
      <c r="C101" s="1" t="s">
        <v>95</v>
      </c>
      <c r="D101" s="1"/>
      <c r="E101" s="1"/>
      <c r="F101" s="1"/>
      <c r="G101" s="1"/>
      <c r="H101" s="2">
        <f>ROUND(H64+H69+H81+H100,5)</f>
        <v>549558.12</v>
      </c>
    </row>
    <row r="102" spans="1:8" x14ac:dyDescent="0.3">
      <c r="A102" s="1"/>
      <c r="B102" s="1"/>
      <c r="C102" s="1" t="s">
        <v>96</v>
      </c>
      <c r="D102" s="1"/>
      <c r="E102" s="1"/>
      <c r="F102" s="1"/>
      <c r="G102" s="1"/>
      <c r="H102" s="2"/>
    </row>
    <row r="103" spans="1:8" x14ac:dyDescent="0.3">
      <c r="A103" s="1"/>
      <c r="B103" s="1"/>
      <c r="C103" s="1"/>
      <c r="D103" s="1" t="s">
        <v>97</v>
      </c>
      <c r="E103" s="1"/>
      <c r="F103" s="1"/>
      <c r="G103" s="1"/>
      <c r="H103" s="2"/>
    </row>
    <row r="104" spans="1:8" x14ac:dyDescent="0.3">
      <c r="A104" s="1"/>
      <c r="B104" s="1"/>
      <c r="C104" s="1"/>
      <c r="D104" s="1"/>
      <c r="E104" s="1" t="s">
        <v>98</v>
      </c>
      <c r="F104" s="1"/>
      <c r="G104" s="1"/>
      <c r="H104" s="2"/>
    </row>
    <row r="105" spans="1:8" x14ac:dyDescent="0.3">
      <c r="A105" s="1"/>
      <c r="B105" s="1"/>
      <c r="C105" s="1"/>
      <c r="D105" s="1"/>
      <c r="E105" s="1"/>
      <c r="F105" s="1" t="s">
        <v>99</v>
      </c>
      <c r="G105" s="1"/>
      <c r="H105" s="2">
        <v>500000</v>
      </c>
    </row>
    <row r="106" spans="1:8" ht="15" thickBot="1" x14ac:dyDescent="0.35">
      <c r="A106" s="1"/>
      <c r="B106" s="1"/>
      <c r="C106" s="1"/>
      <c r="D106" s="1"/>
      <c r="E106" s="1"/>
      <c r="F106" s="1" t="s">
        <v>100</v>
      </c>
      <c r="G106" s="1"/>
      <c r="H106" s="2">
        <v>402223.01</v>
      </c>
    </row>
    <row r="107" spans="1:8" ht="15" thickBot="1" x14ac:dyDescent="0.35">
      <c r="A107" s="1"/>
      <c r="B107" s="1"/>
      <c r="C107" s="1"/>
      <c r="D107" s="1"/>
      <c r="E107" s="1" t="s">
        <v>101</v>
      </c>
      <c r="F107" s="1"/>
      <c r="G107" s="1"/>
      <c r="H107" s="5">
        <f>ROUND(SUM(H104:H106),5)</f>
        <v>902223.01</v>
      </c>
    </row>
    <row r="108" spans="1:8" ht="15" thickBot="1" x14ac:dyDescent="0.35">
      <c r="A108" s="1"/>
      <c r="B108" s="1"/>
      <c r="C108" s="1"/>
      <c r="D108" s="1" t="s">
        <v>102</v>
      </c>
      <c r="E108" s="1"/>
      <c r="F108" s="1"/>
      <c r="G108" s="1"/>
      <c r="H108" s="5">
        <f>ROUND(H103+H107,5)</f>
        <v>902223.01</v>
      </c>
    </row>
    <row r="109" spans="1:8" ht="15" thickBot="1" x14ac:dyDescent="0.35">
      <c r="A109" s="1"/>
      <c r="B109" s="1"/>
      <c r="C109" s="1" t="s">
        <v>103</v>
      </c>
      <c r="D109" s="1"/>
      <c r="E109" s="1"/>
      <c r="F109" s="1"/>
      <c r="G109" s="1"/>
      <c r="H109" s="3">
        <f>ROUND(H102+H108,5)</f>
        <v>902223.01</v>
      </c>
    </row>
    <row r="110" spans="1:8" x14ac:dyDescent="0.3">
      <c r="A110" s="1"/>
      <c r="B110" s="1" t="s">
        <v>104</v>
      </c>
      <c r="C110" s="1"/>
      <c r="D110" s="1"/>
      <c r="E110" s="1"/>
      <c r="F110" s="1"/>
      <c r="G110" s="1"/>
      <c r="H110" s="2">
        <f>ROUND(H63+H101+H109,5)</f>
        <v>1451781.13</v>
      </c>
    </row>
    <row r="111" spans="1:8" x14ac:dyDescent="0.3">
      <c r="A111" s="1"/>
      <c r="B111" s="1" t="s">
        <v>105</v>
      </c>
      <c r="C111" s="1"/>
      <c r="D111" s="1"/>
      <c r="E111" s="1"/>
      <c r="F111" s="1"/>
      <c r="G111" s="1"/>
      <c r="H111" s="2"/>
    </row>
    <row r="112" spans="1:8" x14ac:dyDescent="0.3">
      <c r="A112" s="1"/>
      <c r="B112" s="1"/>
      <c r="C112" s="1" t="s">
        <v>106</v>
      </c>
      <c r="D112" s="1"/>
      <c r="E112" s="1"/>
      <c r="F112" s="1"/>
      <c r="G112" s="1"/>
      <c r="H112" s="2"/>
    </row>
    <row r="113" spans="1:8" x14ac:dyDescent="0.3">
      <c r="A113" s="1"/>
      <c r="B113" s="1"/>
      <c r="C113" s="1"/>
      <c r="D113" s="1" t="s">
        <v>107</v>
      </c>
      <c r="E113" s="1"/>
      <c r="F113" s="1"/>
      <c r="G113" s="1"/>
      <c r="H113" s="2">
        <v>490245.1</v>
      </c>
    </row>
    <row r="114" spans="1:8" x14ac:dyDescent="0.3">
      <c r="A114" s="1"/>
      <c r="B114" s="1"/>
      <c r="C114" s="1"/>
      <c r="D114" s="1" t="s">
        <v>108</v>
      </c>
      <c r="E114" s="1"/>
      <c r="F114" s="1"/>
      <c r="G114" s="1"/>
      <c r="H114" s="2">
        <v>495276.57</v>
      </c>
    </row>
    <row r="115" spans="1:8" x14ac:dyDescent="0.3">
      <c r="A115" s="1"/>
      <c r="B115" s="1"/>
      <c r="C115" s="1"/>
      <c r="D115" s="1" t="s">
        <v>109</v>
      </c>
      <c r="E115" s="1"/>
      <c r="F115" s="1"/>
      <c r="G115" s="1"/>
      <c r="H115" s="2">
        <v>-91868.7</v>
      </c>
    </row>
    <row r="116" spans="1:8" ht="15" thickBot="1" x14ac:dyDescent="0.35">
      <c r="A116" s="1"/>
      <c r="B116" s="1"/>
      <c r="C116" s="1"/>
      <c r="D116" s="1" t="s">
        <v>110</v>
      </c>
      <c r="E116" s="1"/>
      <c r="F116" s="1"/>
      <c r="G116" s="1"/>
      <c r="H116" s="4">
        <v>-45335.57</v>
      </c>
    </row>
    <row r="117" spans="1:8" x14ac:dyDescent="0.3">
      <c r="A117" s="1"/>
      <c r="B117" s="1"/>
      <c r="C117" s="1" t="s">
        <v>111</v>
      </c>
      <c r="D117" s="1"/>
      <c r="E117" s="1"/>
      <c r="F117" s="1"/>
      <c r="G117" s="1"/>
      <c r="H117" s="2">
        <f>ROUND(SUM(H112:H116),5)</f>
        <v>848317.4</v>
      </c>
    </row>
    <row r="118" spans="1:8" x14ac:dyDescent="0.3">
      <c r="A118" s="1"/>
      <c r="B118" s="1"/>
      <c r="C118" s="1" t="s">
        <v>112</v>
      </c>
      <c r="D118" s="1"/>
      <c r="E118" s="1"/>
      <c r="F118" s="1"/>
      <c r="G118" s="1"/>
      <c r="H118" s="2">
        <v>227895.48</v>
      </c>
    </row>
    <row r="119" spans="1:8" x14ac:dyDescent="0.3">
      <c r="A119" s="1"/>
      <c r="B119" s="1"/>
      <c r="C119" s="1" t="s">
        <v>113</v>
      </c>
      <c r="D119" s="1"/>
      <c r="E119" s="1"/>
      <c r="F119" s="1"/>
      <c r="G119" s="1"/>
      <c r="H119" s="2">
        <v>-227895.48</v>
      </c>
    </row>
    <row r="120" spans="1:8" ht="15" thickBot="1" x14ac:dyDescent="0.35">
      <c r="A120" s="1"/>
      <c r="B120" s="1"/>
      <c r="C120" s="1" t="s">
        <v>114</v>
      </c>
      <c r="D120" s="1"/>
      <c r="E120" s="1"/>
      <c r="F120" s="1"/>
      <c r="G120" s="1"/>
      <c r="H120" s="2">
        <v>549578.29</v>
      </c>
    </row>
    <row r="121" spans="1:8" ht="15" thickBot="1" x14ac:dyDescent="0.35">
      <c r="A121" s="1"/>
      <c r="B121" s="1" t="s">
        <v>115</v>
      </c>
      <c r="C121" s="1"/>
      <c r="D121" s="1"/>
      <c r="E121" s="1"/>
      <c r="F121" s="1"/>
      <c r="G121" s="1"/>
      <c r="H121" s="5">
        <f>ROUND(H111+SUM(H117:H120),5)</f>
        <v>1397895.69</v>
      </c>
    </row>
    <row r="122" spans="1:8" s="7" customFormat="1" thickBot="1" x14ac:dyDescent="0.35">
      <c r="A122" s="1" t="s">
        <v>116</v>
      </c>
      <c r="B122" s="1"/>
      <c r="C122" s="1"/>
      <c r="D122" s="1"/>
      <c r="E122" s="1"/>
      <c r="F122" s="1"/>
      <c r="G122" s="1"/>
      <c r="H122" s="6">
        <f>ROUND(H62+H110+H121,5)</f>
        <v>2849676.82</v>
      </c>
    </row>
    <row r="123" spans="1:8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4:55 PM
&amp;"Calibri,Regular"&amp;10 05/14/26&amp;C&amp;"Calibri,Regular"&amp;12 Live Marketing, LLC
&amp;"Calibri,Regular"&amp;14 Balance Sheet
&amp;"Calibri,Regular"&amp;10 As of December 31, 2024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3073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3073" r:id="rId4" name="FILTER"/>
      </mc:Fallback>
    </mc:AlternateContent>
    <mc:AlternateContent xmlns:mc="http://schemas.openxmlformats.org/markup-compatibility/2006">
      <mc:Choice Requires="x14">
        <control shapeId="3074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3074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BS24</vt:lpstr>
      <vt:lpstr>'BS24'!Print_Titles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Malriat</dc:creator>
  <cp:lastModifiedBy>Matthew Malriat</cp:lastModifiedBy>
  <dcterms:created xsi:type="dcterms:W3CDTF">2026-05-14T16:53:50Z</dcterms:created>
  <dcterms:modified xsi:type="dcterms:W3CDTF">2026-05-22T11:12:57Z</dcterms:modified>
</cp:coreProperties>
</file>