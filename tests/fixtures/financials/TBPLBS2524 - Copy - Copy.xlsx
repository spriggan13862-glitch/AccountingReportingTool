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lriat\Downloads\"/>
    </mc:Choice>
  </mc:AlternateContent>
  <xr:revisionPtr revIDLastSave="0" documentId="8_{5C5BD0B4-F5EC-43CA-9EDB-DA6149FE791C}" xr6:coauthVersionLast="47" xr6:coauthVersionMax="47" xr10:uidLastSave="{00000000-0000-0000-0000-000000000000}"/>
  <bookViews>
    <workbookView xWindow="4716" yWindow="768" windowWidth="17280" windowHeight="9024" activeTab="5" xr2:uid="{D368D230-5C3E-492E-BB7C-2E6F52378162}"/>
  </bookViews>
  <sheets>
    <sheet name="BS24" sheetId="3" r:id="rId1"/>
    <sheet name="PL24" sheetId="5" r:id="rId2"/>
    <sheet name="PL25" sheetId="4" r:id="rId3"/>
    <sheet name="BS25" sheetId="1" r:id="rId4"/>
    <sheet name="TB24" sheetId="6" r:id="rId5"/>
    <sheet name="TB25" sheetId="7" r:id="rId6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'BS24'!$A:$G,'BS24'!$1:$1</definedName>
    <definedName name="_xlnm.Print_Titles" localSheetId="3">'BS25'!$A:$F,'BS25'!$1:$1</definedName>
    <definedName name="_xlnm.Print_Titles" localSheetId="1">'PL24'!$A:$H,'PL24'!$1:$1</definedName>
    <definedName name="_xlnm.Print_Titles" localSheetId="2">'PL25'!$A:$H,'PL25'!$1:$1</definedName>
    <definedName name="_xlnm.Print_Titles" localSheetId="4">'TB24'!$A:$B,'TB24'!$1:$2</definedName>
    <definedName name="_xlnm.Print_Titles" localSheetId="5">'TB25'!$A:$B,'TB25'!$1:$2</definedName>
    <definedName name="QB_COLUMN_29" localSheetId="0" hidden="1">'BS24'!$H$1</definedName>
    <definedName name="QB_COLUMN_29" localSheetId="3" hidden="1">'BS25'!$G$1</definedName>
    <definedName name="QB_COLUMN_29" localSheetId="1" hidden="1">'PL24'!$I$1</definedName>
    <definedName name="QB_COLUMN_29" localSheetId="2" hidden="1">'PL25'!$I$1</definedName>
    <definedName name="QB_COLUMN_290" localSheetId="4" hidden="1">'TB24'!$C$1</definedName>
    <definedName name="QB_COLUMN_290" localSheetId="5" hidden="1">'TB25'!$C$1</definedName>
    <definedName name="QB_COLUMN_57200" localSheetId="4" hidden="1">'TB24'!$C$2</definedName>
    <definedName name="QB_COLUMN_57200" localSheetId="5" hidden="1">'TB25'!$C$2</definedName>
    <definedName name="QB_COLUMN_58210" localSheetId="4" hidden="1">'TB24'!$E$2</definedName>
    <definedName name="QB_COLUMN_58210" localSheetId="5" hidden="1">'TB25'!$E$2</definedName>
    <definedName name="QB_DATA_0" localSheetId="0" hidden="1">'BS24'!$6:$6,'BS24'!$7:$7,'BS24'!$8:$8,'BS24'!$9:$9,'BS24'!$10:$10,'BS24'!$11:$11,'BS24'!$12:$12,'BS24'!$13:$13,'BS24'!$14:$14,'BS24'!$19:$19,'BS24'!$23:$23,'BS24'!$25:$25,'BS24'!$26:$26,'BS24'!$27:$27,'BS24'!$28:$28,'BS24'!$31:$31</definedName>
    <definedName name="QB_DATA_0" localSheetId="3" hidden="1">'BS25'!$6:$6,'BS25'!$7:$7,'BS25'!$8:$8,'BS25'!$9:$9,'BS25'!$10:$10,'BS25'!$11:$11,'BS25'!$12:$12,'BS25'!$13:$13,'BS25'!$14:$14,'BS25'!$19:$19,'BS25'!$24:$24,'BS25'!$25:$25,'BS25'!$26:$26,'BS25'!$27:$27,'BS25'!$28:$28,'BS25'!$31:$31</definedName>
    <definedName name="QB_DATA_0" localSheetId="1" hidden="1">'PL24'!$5:$5,'PL24'!$6:$6,'PL24'!$7:$7,'PL24'!$8:$8,'PL24'!$9:$9,'PL24'!$10:$10,'PL24'!$11:$11,'PL24'!$12:$12,'PL24'!$13:$13,'PL24'!$15:$15,'PL24'!$16:$16,'PL24'!$18:$18,'PL24'!$24:$24,'PL24'!$25:$25,'PL24'!$26:$26,'PL24'!$27:$27</definedName>
    <definedName name="QB_DATA_0" localSheetId="2" hidden="1">'PL25'!$5:$5,'PL25'!$6:$6,'PL25'!$7:$7,'PL25'!$8:$8,'PL25'!$9:$9,'PL25'!$10:$10,'PL25'!$11:$11,'PL25'!$12:$12,'PL25'!$14:$14,'PL25'!$15:$15,'PL25'!$18:$18,'PL25'!$19:$19,'PL25'!$26:$26,'PL25'!$27:$27,'PL25'!$28:$28,'PL25'!$29:$29</definedName>
    <definedName name="QB_DATA_0" localSheetId="4" hidden="1">'TB24'!$3:$3,'TB24'!$4:$4,'TB24'!$5:$5,'TB24'!$6:$6,'TB24'!$7:$7,'TB24'!$8:$8,'TB24'!$9:$9,'TB24'!$10:$10,'TB24'!$11:$11,'TB24'!$12:$12,'TB24'!$13:$13,'TB24'!$14:$14,'TB24'!$15:$15,'TB24'!$16:$16,'TB24'!$17:$17,'TB24'!$18:$18</definedName>
    <definedName name="QB_DATA_0" localSheetId="5" hidden="1">'TB25'!$3:$3,'TB25'!$4:$4,'TB25'!$5:$5,'TB25'!$6:$6,'TB25'!$7:$7,'TB25'!$8:$8,'TB25'!$9:$9,'TB25'!$10:$10,'TB25'!$11:$11,'TB25'!$12:$12,'TB25'!$13:$13,'TB25'!$14:$14,'TB25'!$15:$15,'TB25'!$16:$16,'TB25'!$17:$17,'TB25'!$18:$18</definedName>
    <definedName name="QB_DATA_1" localSheetId="0" hidden="1">'BS24'!$32:$32,'BS24'!$33:$33,'BS24'!$34:$34,'BS24'!$35:$35,'BS24'!$38:$38,'BS24'!$39:$39,'BS24'!$45:$45,'BS24'!$46:$46,'BS24'!$49:$49,'BS24'!$50:$50,'BS24'!$51:$51,'BS24'!$52:$52,'BS24'!$53:$53,'BS24'!$55:$55,'BS24'!$56:$56,'BS24'!$59:$59</definedName>
    <definedName name="QB_DATA_1" localSheetId="3" hidden="1">'BS25'!$32:$32,'BS25'!$33:$33,'BS25'!$34:$34,'BS25'!$35:$35,'BS25'!$38:$38,'BS25'!$39:$39,'BS25'!$45:$45,'BS25'!$46:$46,'BS25'!$49:$49,'BS25'!$50:$50,'BS25'!$51:$51,'BS25'!$52:$52,'BS25'!$53:$53,'BS25'!$55:$55,'BS25'!$56:$56,'BS25'!$59:$59</definedName>
    <definedName name="QB_DATA_1" localSheetId="1" hidden="1">'PL24'!$28:$28,'PL24'!$29:$29,'PL24'!$30:$30,'PL24'!$31:$31,'PL24'!$34:$34,'PL24'!$35:$35,'PL24'!$36:$36,'PL24'!$37:$37,'PL24'!$38:$38,'PL24'!$39:$39,'PL24'!$40:$40,'PL24'!$41:$41,'PL24'!$42:$42,'PL24'!$43:$43,'PL24'!$46:$46,'PL24'!$47:$47</definedName>
    <definedName name="QB_DATA_1" localSheetId="2" hidden="1">'PL25'!$30:$30,'PL25'!$31:$31,'PL25'!$32:$32,'PL25'!$35:$35,'PL25'!$36:$36,'PL25'!$37:$37,'PL25'!$38:$38,'PL25'!$39:$39,'PL25'!$40:$40,'PL25'!$41:$41,'PL25'!$42:$42,'PL25'!$43:$43,'PL25'!$46:$46,'PL25'!$47:$47,'PL25'!$48:$48,'PL25'!$55:$55</definedName>
    <definedName name="QB_DATA_1" localSheetId="4" hidden="1">'TB24'!$19:$19,'TB24'!$20:$20,'TB24'!$21:$21,'TB24'!$22:$22,'TB24'!$23:$23,'TB24'!$24:$24,'TB24'!$25:$25,'TB24'!$26:$26,'TB24'!$27:$27,'TB24'!$28:$28,'TB24'!$29:$29,'TB24'!$30:$30,'TB24'!$31:$31,'TB24'!$32:$32,'TB24'!$33:$33,'TB24'!$34:$34</definedName>
    <definedName name="QB_DATA_1" localSheetId="5" hidden="1">'TB25'!$19:$19,'TB25'!$20:$20,'TB25'!$21:$21,'TB25'!$22:$22,'TB25'!$23:$23,'TB25'!$24:$24,'TB25'!$25:$25,'TB25'!$26:$26,'TB25'!$27:$27,'TB25'!$28:$28,'TB25'!$29:$29,'TB25'!$30:$30,'TB25'!$31:$31,'TB25'!$32:$32,'TB25'!$33:$33,'TB25'!$34:$34</definedName>
    <definedName name="QB_DATA_10" localSheetId="4" hidden="1">'TB24'!$163:$163,'TB24'!$164:$164,'TB24'!$165:$165,'TB24'!$166:$166,'TB24'!$167:$167,'TB24'!$168:$168,'TB24'!$169:$169,'TB24'!$170:$170,'TB24'!$171:$171,'TB24'!$172:$172,'TB24'!$173:$173,'TB24'!$174:$174,'TB24'!$175:$175,'TB24'!$176:$176,'TB24'!$177:$177,'TB24'!$178:$178</definedName>
    <definedName name="QB_DATA_10" localSheetId="5" hidden="1">'TB25'!$163:$163,'TB25'!$164:$164,'TB25'!$165:$165,'TB25'!$166:$166,'TB25'!$167:$167,'TB25'!$168:$168,'TB25'!$169:$169,'TB25'!$170:$170,'TB25'!$171:$171,'TB25'!$172:$172,'TB25'!$173:$173,'TB25'!$174:$174,'TB25'!$175:$175,'TB25'!$176:$176,'TB25'!$177:$177,'TB25'!$178:$178</definedName>
    <definedName name="QB_DATA_11" localSheetId="4" hidden="1">'TB24'!$179:$179,'TB24'!$180:$180,'TB24'!$181:$181,'TB24'!$182:$182,'TB24'!$183:$183,'TB24'!$184:$184,'TB24'!$185:$185,'TB24'!$186:$186,'TB24'!$187:$187,'TB24'!$188:$188,'TB24'!$189:$189,'TB24'!$190:$190,'TB24'!$191:$191,'TB24'!$192:$192,'TB24'!$193:$193,'TB24'!$194:$194</definedName>
    <definedName name="QB_DATA_11" localSheetId="5" hidden="1">'TB25'!$179:$179,'TB25'!$180:$180,'TB25'!$181:$181,'TB25'!$182:$182,'TB25'!$183:$183,'TB25'!$184:$184,'TB25'!$185:$185,'TB25'!$186:$186,'TB25'!$187:$187,'TB25'!$188:$188,'TB25'!$189:$189,'TB25'!$190:$190,'TB25'!$191:$191,'TB25'!$192:$192,'TB25'!$193:$193,'TB25'!$194:$194</definedName>
    <definedName name="QB_DATA_12" localSheetId="4" hidden="1">'TB24'!$195:$195,'TB24'!$196:$196,'TB24'!$197:$197,'TB24'!$198:$198,'TB24'!$199:$199,'TB24'!$200:$200,'TB24'!$201:$201,'TB24'!$202:$202,'TB24'!$203:$203,'TB24'!$204:$204,'TB24'!$205:$205,'TB24'!$206:$206,'TB24'!$207:$207,'TB24'!$208:$208,'TB24'!$209:$209,'TB24'!$210:$210</definedName>
    <definedName name="QB_DATA_12" localSheetId="5" hidden="1">'TB25'!$195:$195,'TB25'!$196:$196,'TB25'!$197:$197,'TB25'!$198:$198,'TB25'!$199:$199,'TB25'!$200:$200,'TB25'!$201:$201,'TB25'!$202:$202,'TB25'!$203:$203,'TB25'!$204:$204,'TB25'!$205:$205,'TB25'!$206:$206,'TB25'!$207:$207,'TB25'!$208:$208,'TB25'!$209:$209,'TB25'!$210:$210</definedName>
    <definedName name="QB_DATA_13" localSheetId="4" hidden="1">'TB24'!$211:$211,'TB24'!$212:$212,'TB24'!$213:$213,'TB24'!$214:$214,'TB24'!$215:$215,'TB24'!$216:$216,'TB24'!$217:$217,'TB24'!$218:$218,'TB24'!$219:$219,'TB24'!$220:$220,'TB24'!$221:$221,'TB24'!$222:$222,'TB24'!$223:$223,'TB24'!$224:$224,'TB24'!$225:$225,'TB24'!$226:$226</definedName>
    <definedName name="QB_DATA_13" localSheetId="5" hidden="1">'TB25'!$211:$211,'TB25'!$212:$212,'TB25'!$213:$213,'TB25'!$214:$214,'TB25'!$215:$215,'TB25'!$216:$216,'TB25'!$217:$217,'TB25'!$218:$218,'TB25'!$219:$219,'TB25'!$220:$220,'TB25'!$221:$221,'TB25'!$222:$222,'TB25'!$223:$223,'TB25'!$224:$224,'TB25'!$225:$225,'TB25'!$226:$226</definedName>
    <definedName name="QB_DATA_14" localSheetId="4" hidden="1">'TB24'!$227:$227,'TB24'!$228:$228,'TB24'!$229:$229,'TB24'!$230:$230,'TB24'!$231:$231,'TB24'!$232:$232,'TB24'!$233:$233,'TB24'!$234:$234,'TB24'!$235:$235,'TB24'!$236:$236,'TB24'!$237:$237,'TB24'!$238:$238,'TB24'!$239:$239,'TB24'!$240:$240,'TB24'!$241:$241,'TB24'!$242:$242</definedName>
    <definedName name="QB_DATA_14" localSheetId="5" hidden="1">'TB25'!$227:$227,'TB25'!$228:$228,'TB25'!$229:$229,'TB25'!$230:$230,'TB25'!$231:$231,'TB25'!$232:$232,'TB25'!$233:$233,'TB25'!$234:$234,'TB25'!$235:$235,'TB25'!$236:$236,'TB25'!$237:$237,'TB25'!$238:$238,'TB25'!$239:$239,'TB25'!$240:$240,'TB25'!$241:$241,'TB25'!$242:$242</definedName>
    <definedName name="QB_DATA_15" localSheetId="4" hidden="1">'TB24'!$243:$243,'TB24'!$244:$244,'TB24'!$245:$245,'TB24'!$246:$246,'TB24'!$247:$247,'TB24'!$248:$248,'TB24'!$249:$249,'TB24'!$250:$250</definedName>
    <definedName name="QB_DATA_15" localSheetId="5" hidden="1">'TB25'!$243:$243,'TB25'!$244:$244,'TB25'!$245:$245,'TB25'!$246:$246,'TB25'!$247:$247</definedName>
    <definedName name="QB_DATA_2" localSheetId="0" hidden="1">'BS24'!$67:$67,'BS24'!$72:$72,'BS24'!$73:$73,'BS24'!$74:$74,'BS24'!$75:$75,'BS24'!$76:$76,'BS24'!$77:$77,'BS24'!$78:$78,'BS24'!$79:$79,'BS24'!$84:$84,'BS24'!$86:$86,'BS24'!$88:$88,'BS24'!$89:$89,'BS24'!$90:$90,'BS24'!$92:$92,'BS24'!$95:$95</definedName>
    <definedName name="QB_DATA_2" localSheetId="3" hidden="1">'BS25'!$67:$67,'BS25'!$72:$72,'BS25'!$73:$73,'BS25'!$74:$74,'BS25'!$75:$75,'BS25'!$76:$76,'BS25'!$77:$77,'BS25'!$78:$78,'BS25'!$79:$79,'BS25'!$84:$84,'BS25'!$86:$86,'BS25'!$88:$88,'BS25'!$89:$89,'BS25'!$90:$90,'BS25'!$91:$91,'BS25'!$92:$92</definedName>
    <definedName name="QB_DATA_2" localSheetId="1" hidden="1">'PL24'!$48:$48,'PL24'!$49:$49,'PL24'!$50:$50,'PL24'!$57:$57,'PL24'!$59:$59,'PL24'!$60:$60,'PL24'!$61:$61,'PL24'!$62:$62,'PL24'!$64:$64,'PL24'!$65:$65,'PL24'!$66:$66,'PL24'!$67:$67,'PL24'!$69:$69,'PL24'!$70:$70,'PL24'!$71:$71,'PL24'!$72:$72</definedName>
    <definedName name="QB_DATA_2" localSheetId="2" hidden="1">'PL25'!$57:$57,'PL25'!$58:$58,'PL25'!$59:$59,'PL25'!$60:$60,'PL25'!$62:$62,'PL25'!$63:$63,'PL25'!$64:$64,'PL25'!$65:$65,'PL25'!$67:$67,'PL25'!$68:$68,'PL25'!$69:$69,'PL25'!$70:$70,'PL25'!$71:$71,'PL25'!$72:$72,'PL25'!$74:$74,'PL25'!$77:$77</definedName>
    <definedName name="QB_DATA_2" localSheetId="4" hidden="1">'TB24'!$35:$35,'TB24'!$36:$36,'TB24'!$37:$37,'TB24'!$38:$38,'TB24'!$39:$39,'TB24'!$40:$40,'TB24'!$41:$41,'TB24'!$42:$42,'TB24'!$43:$43,'TB24'!$44:$44,'TB24'!$45:$45,'TB24'!$46:$46,'TB24'!$47:$47,'TB24'!$48:$48,'TB24'!$49:$49,'TB24'!$50:$50</definedName>
    <definedName name="QB_DATA_2" localSheetId="5" hidden="1">'TB25'!$35:$35,'TB25'!$36:$36,'TB25'!$37:$37,'TB25'!$38:$38,'TB25'!$39:$39,'TB25'!$40:$40,'TB25'!$41:$41,'TB25'!$42:$42,'TB25'!$43:$43,'TB25'!$44:$44,'TB25'!$45:$45,'TB25'!$46:$46,'TB25'!$47:$47,'TB25'!$48:$48,'TB25'!$49:$49,'TB25'!$50:$50</definedName>
    <definedName name="QB_DATA_3" localSheetId="0" hidden="1">'BS24'!$96:$96,'BS24'!$98:$98,'BS24'!$105:$105,'BS24'!$106:$106,'BS24'!$113:$113,'BS24'!$114:$114,'BS24'!$115:$115,'BS24'!$116:$116,'BS24'!$118:$118,'BS24'!$119:$119,'BS24'!$120:$120</definedName>
    <definedName name="QB_DATA_3" localSheetId="3" hidden="1">'BS25'!$95:$95,'BS25'!$96:$96,'BS25'!$99:$99,'BS25'!$100:$100,'BS25'!$107:$107,'BS25'!$108:$108,'BS25'!$115:$115,'BS25'!$116:$116,'BS25'!$117:$117,'BS25'!$118:$118,'BS25'!$120:$120,'BS25'!$121:$121,'BS25'!$122:$122</definedName>
    <definedName name="QB_DATA_3" localSheetId="1" hidden="1">'PL24'!$73:$73,'PL24'!$75:$75,'PL24'!$78:$78,'PL24'!$79:$79,'PL24'!$80:$80,'PL24'!$81:$81,'PL24'!$82:$82,'PL24'!$84:$84,'PL24'!$85:$85,'PL24'!$86:$86,'PL24'!$87:$87,'PL24'!$88:$88,'PL24'!$89:$89,'PL24'!$92:$92,'PL24'!$93:$93,'PL24'!$94:$94</definedName>
    <definedName name="QB_DATA_3" localSheetId="2" hidden="1">'PL25'!$78:$78,'PL25'!$79:$79,'PL25'!$80:$80,'PL25'!$81:$81,'PL25'!$83:$83,'PL25'!$84:$84,'PL25'!$85:$85,'PL25'!$86:$86,'PL25'!$87:$87,'PL25'!$90:$90,'PL25'!$91:$91,'PL25'!$92:$92,'PL25'!$95:$95,'PL25'!$96:$96,'PL25'!$97:$97,'PL25'!$99:$99</definedName>
    <definedName name="QB_DATA_3" localSheetId="4" hidden="1">'TB24'!$51:$51,'TB24'!$52:$52,'TB24'!$53:$53,'TB24'!$54:$54,'TB24'!$55:$55,'TB24'!$56:$56,'TB24'!$57:$57,'TB24'!$58:$58,'TB24'!$59:$59,'TB24'!$60:$60,'TB24'!$61:$61,'TB24'!$62:$62,'TB24'!$63:$63,'TB24'!$64:$64,'TB24'!$65:$65,'TB24'!$66:$66</definedName>
    <definedName name="QB_DATA_3" localSheetId="5" hidden="1">'TB25'!$51:$51,'TB25'!$52:$52,'TB25'!$53:$53,'TB25'!$54:$54,'TB25'!$55:$55,'TB25'!$56:$56,'TB25'!$57:$57,'TB25'!$58:$58,'TB25'!$59:$59,'TB25'!$60:$60,'TB25'!$61:$61,'TB25'!$62:$62,'TB25'!$63:$63,'TB25'!$64:$64,'TB25'!$65:$65,'TB25'!$66:$66</definedName>
    <definedName name="QB_DATA_4" localSheetId="1" hidden="1">'PL24'!$97:$97,'PL24'!$98:$98,'PL24'!$99:$99,'PL24'!$101:$101,'PL24'!$102:$102,'PL24'!$104:$104,'PL24'!$108:$108,'PL24'!$109:$109,'PL24'!$110:$110,'PL24'!$111:$111,'PL24'!$112:$112,'PL24'!$114:$114,'PL24'!$115:$115,'PL24'!$117:$117,'PL24'!$118:$118,'PL24'!$119:$119</definedName>
    <definedName name="QB_DATA_4" localSheetId="2" hidden="1">'PL25'!$100:$100,'PL25'!$102:$102,'PL25'!$106:$106,'PL25'!$107:$107,'PL25'!$108:$108,'PL25'!$109:$109,'PL25'!$110:$110,'PL25'!$112:$112,'PL25'!$113:$113,'PL25'!$114:$114,'PL25'!$116:$116,'PL25'!$117:$117,'PL25'!$118:$118,'PL25'!$120:$120,'PL25'!$121:$121,'PL25'!$122:$122</definedName>
    <definedName name="QB_DATA_4" localSheetId="4" hidden="1">'TB24'!$67:$67,'TB24'!$68:$68,'TB24'!$69:$69,'TB24'!$70:$70,'TB24'!$71:$71,'TB24'!$72:$72,'TB24'!$73:$73,'TB24'!$74:$74,'TB24'!$75:$75,'TB24'!$76:$76,'TB24'!$77:$77,'TB24'!$78:$78,'TB24'!$79:$79,'TB24'!$80:$80,'TB24'!$81:$81,'TB24'!$82:$82</definedName>
    <definedName name="QB_DATA_4" localSheetId="5" hidden="1">'TB25'!$67:$67,'TB25'!$68:$68,'TB25'!$69:$69,'TB25'!$70:$70,'TB25'!$71:$71,'TB25'!$72:$72,'TB25'!$73:$73,'TB25'!$74:$74,'TB25'!$75:$75,'TB25'!$76:$76,'TB25'!$77:$77,'TB25'!$78:$78,'TB25'!$79:$79,'TB25'!$80:$80,'TB25'!$81:$81,'TB25'!$82:$82</definedName>
    <definedName name="QB_DATA_5" localSheetId="1" hidden="1">'PL24'!$121:$121,'PL24'!$122:$122,'PL24'!$123:$123,'PL24'!$124:$124,'PL24'!$125:$125,'PL24'!$126:$126,'PL24'!$127:$127,'PL24'!$128:$128,'PL24'!$130:$130,'PL24'!$131:$131,'PL24'!$134:$134,'PL24'!$135:$135,'PL24'!$136:$136,'PL24'!$137:$137,'PL24'!$138:$138,'PL24'!$139:$139</definedName>
    <definedName name="QB_DATA_5" localSheetId="2" hidden="1">'PL25'!$123:$123,'PL25'!$124:$124,'PL25'!$125:$125,'PL25'!$126:$126,'PL25'!$127:$127,'PL25'!$129:$129,'PL25'!$132:$132,'PL25'!$133:$133,'PL25'!$134:$134,'PL25'!$135:$135,'PL25'!$136:$136,'PL25'!$137:$137,'PL25'!$139:$139,'PL25'!$140:$140,'PL25'!$142:$142,'PL25'!$143:$143</definedName>
    <definedName name="QB_DATA_5" localSheetId="4" hidden="1">'TB24'!$83:$83,'TB24'!$84:$84,'TB24'!$85:$85,'TB24'!$86:$86,'TB24'!$87:$87,'TB24'!$88:$88,'TB24'!$89:$89,'TB24'!$90:$90,'TB24'!$91:$91,'TB24'!$92:$92,'TB24'!$93:$93,'TB24'!$94:$94,'TB24'!$95:$95,'TB24'!$96:$96,'TB24'!$97:$97,'TB24'!$98:$98</definedName>
    <definedName name="QB_DATA_5" localSheetId="5" hidden="1">'TB25'!$83:$83,'TB25'!$84:$84,'TB25'!$85:$85,'TB25'!$86:$86,'TB25'!$87:$87,'TB25'!$88:$88,'TB25'!$89:$89,'TB25'!$90:$90,'TB25'!$91:$91,'TB25'!$92:$92,'TB25'!$93:$93,'TB25'!$94:$94,'TB25'!$95:$95,'TB25'!$96:$96,'TB25'!$97:$97,'TB25'!$98:$98</definedName>
    <definedName name="QB_DATA_6" localSheetId="1" hidden="1">'PL24'!$140:$140,'PL24'!$141:$141,'PL24'!$142:$142,'PL24'!$143:$143,'PL24'!$145:$145,'PL24'!$146:$146,'PL24'!$147:$147,'PL24'!$148:$148,'PL24'!$150:$150,'PL24'!$151:$151,'PL24'!$152:$152,'PL24'!$153:$153,'PL24'!$156:$156,'PL24'!$157:$157,'PL24'!$159:$159,'PL24'!$165:$165</definedName>
    <definedName name="QB_DATA_6" localSheetId="2" hidden="1">'PL25'!$145:$145,'PL25'!$146:$146,'PL25'!$147:$147,'PL25'!$148:$148,'PL25'!$149:$149,'PL25'!$151:$151,'PL25'!$152:$152,'PL25'!$153:$153,'PL25'!$154:$154,'PL25'!$155:$155,'PL25'!$158:$158,'PL25'!$165:$165,'PL25'!$166:$166,'PL25'!$170:$170,'PL25'!$171:$171,'PL25'!$172:$172</definedName>
    <definedName name="QB_DATA_6" localSheetId="4" hidden="1">'TB24'!$99:$99,'TB24'!$100:$100,'TB24'!$101:$101,'TB24'!$102:$102,'TB24'!$103:$103,'TB24'!$104:$104,'TB24'!$105:$105,'TB24'!$106:$106,'TB24'!$107:$107,'TB24'!$108:$108,'TB24'!$109:$109,'TB24'!$110:$110,'TB24'!$111:$111,'TB24'!$112:$112,'TB24'!$113:$113,'TB24'!$114:$114</definedName>
    <definedName name="QB_DATA_6" localSheetId="5" hidden="1">'TB25'!$99:$99,'TB25'!$100:$100,'TB25'!$101:$101,'TB25'!$102:$102,'TB25'!$103:$103,'TB25'!$104:$104,'TB25'!$105:$105,'TB25'!$106:$106,'TB25'!$107:$107,'TB25'!$108:$108,'TB25'!$109:$109,'TB25'!$110:$110,'TB25'!$111:$111,'TB25'!$112:$112,'TB25'!$113:$113,'TB25'!$114:$114</definedName>
    <definedName name="QB_DATA_7" localSheetId="1" hidden="1">'PL24'!$166:$166,'PL24'!$167:$167,'PL24'!$171:$171,'PL24'!$172:$172</definedName>
    <definedName name="QB_DATA_7" localSheetId="4" hidden="1">'TB24'!$115:$115,'TB24'!$116:$116,'TB24'!$117:$117,'TB24'!$118:$118,'TB24'!$119:$119,'TB24'!$120:$120,'TB24'!$121:$121,'TB24'!$122:$122,'TB24'!$123:$123,'TB24'!$124:$124,'TB24'!$125:$125,'TB24'!$126:$126,'TB24'!$127:$127,'TB24'!$128:$128,'TB24'!$129:$129,'TB24'!$130:$130</definedName>
    <definedName name="QB_DATA_7" localSheetId="5" hidden="1">'TB25'!$115:$115,'TB25'!$116:$116,'TB25'!$117:$117,'TB25'!$118:$118,'TB25'!$119:$119,'TB25'!$120:$120,'TB25'!$121:$121,'TB25'!$122:$122,'TB25'!$123:$123,'TB25'!$124:$124,'TB25'!$125:$125,'TB25'!$126:$126,'TB25'!$127:$127,'TB25'!$128:$128,'TB25'!$129:$129,'TB25'!$130:$130</definedName>
    <definedName name="QB_DATA_8" localSheetId="4" hidden="1">'TB24'!$131:$131,'TB24'!$132:$132,'TB24'!$133:$133,'TB24'!$134:$134,'TB24'!$135:$135,'TB24'!$136:$136,'TB24'!$137:$137,'TB24'!$138:$138,'TB24'!$139:$139,'TB24'!$140:$140,'TB24'!$141:$141,'TB24'!$142:$142,'TB24'!$143:$143,'TB24'!$144:$144,'TB24'!$145:$145,'TB24'!$146:$146</definedName>
    <definedName name="QB_DATA_8" localSheetId="5" hidden="1">'TB25'!$131:$131,'TB25'!$132:$132,'TB25'!$133:$133,'TB25'!$134:$134,'TB25'!$135:$135,'TB25'!$136:$136,'TB25'!$137:$137,'TB25'!$138:$138,'TB25'!$139:$139,'TB25'!$140:$140,'TB25'!$141:$141,'TB25'!$142:$142,'TB25'!$143:$143,'TB25'!$144:$144,'TB25'!$145:$145,'TB25'!$146:$146</definedName>
    <definedName name="QB_DATA_9" localSheetId="4" hidden="1">'TB24'!$147:$147,'TB24'!$148:$148,'TB24'!$149:$149,'TB24'!$150:$150,'TB24'!$151:$151,'TB24'!$152:$152,'TB24'!$153:$153,'TB24'!$154:$154,'TB24'!$155:$155,'TB24'!$156:$156,'TB24'!$157:$157,'TB24'!$158:$158,'TB24'!$159:$159,'TB24'!$160:$160,'TB24'!$161:$161,'TB24'!$162:$162</definedName>
    <definedName name="QB_DATA_9" localSheetId="5" hidden="1">'TB25'!$147:$147,'TB25'!$148:$148,'TB25'!$149:$149,'TB25'!$150:$150,'TB25'!$151:$151,'TB25'!$152:$152,'TB25'!$153:$153,'TB25'!$154:$154,'TB25'!$155:$155,'TB25'!$156:$156,'TB25'!$157:$157,'TB25'!$158:$158,'TB25'!$159:$159,'TB25'!$160:$160,'TB25'!$161:$161,'TB25'!$162:$162</definedName>
    <definedName name="QB_FORMULA_0" localSheetId="0" hidden="1">'BS24'!$H$15,'BS24'!$H$16,'BS24'!$H$20,'BS24'!$H$21,'BS24'!$H$29,'BS24'!$H$36,'BS24'!$H$40,'BS24'!$H$41,'BS24'!$H$42,'BS24'!$H$47,'BS24'!$H$54,'BS24'!$H$57,'BS24'!$H$60,'BS24'!$H$61,'BS24'!$H$68,'BS24'!$H$69</definedName>
    <definedName name="QB_FORMULA_0" localSheetId="3" hidden="1">'BS25'!$G$15,'BS25'!$G$16,'BS25'!$G$20,'BS25'!$G$21,'BS25'!$G$29,'BS25'!$G$36,'BS25'!$G$40,'BS25'!$G$41,'BS25'!$G$42,'BS25'!$G$47,'BS25'!$G$54,'BS25'!$G$57,'BS25'!$G$60,'BS25'!$G$61,'BS25'!$G$68,'BS25'!$G$69</definedName>
    <definedName name="QB_FORMULA_0" localSheetId="1" hidden="1">'PL24'!$I$17,'PL24'!$I$19,'PL24'!$I$20,'PL24'!$I$32,'PL24'!$I$44,'PL24'!$I$51,'PL24'!$I$52,'PL24'!$I$53,'PL24'!$I$54,'PL24'!$I$63,'PL24'!$I$74,'PL24'!$I$76,'PL24'!$I$90,'PL24'!$I$95,'PL24'!$I$103,'PL24'!$I$105</definedName>
    <definedName name="QB_FORMULA_0" localSheetId="2" hidden="1">'PL25'!$I$16,'PL25'!$I$20,'PL25'!$I$21,'PL25'!$I$22,'PL25'!$I$33,'PL25'!$I$44,'PL25'!$I$49,'PL25'!$I$50,'PL25'!$I$51,'PL25'!$I$52,'PL25'!$I$61,'PL25'!$I$73,'PL25'!$I$75,'PL25'!$I$88,'PL25'!$I$93,'PL25'!$I$101</definedName>
    <definedName name="QB_FORMULA_0" localSheetId="4" hidden="1">'TB24'!$C$251,'TB24'!$E$251</definedName>
    <definedName name="QB_FORMULA_0" localSheetId="5" hidden="1">'TB25'!$C$248,'TB25'!$E$248</definedName>
    <definedName name="QB_FORMULA_1" localSheetId="0" hidden="1">'BS24'!$H$80,'BS24'!$H$81,'BS24'!$H$85,'BS24'!$H$91,'BS24'!$H$97,'BS24'!$H$99,'BS24'!$H$100,'BS24'!$H$101,'BS24'!$H$107,'BS24'!$H$108,'BS24'!$H$109,'BS24'!$H$110,'BS24'!$H$117,'BS24'!$H$121,'BS24'!$H$122</definedName>
    <definedName name="QB_FORMULA_1" localSheetId="3" hidden="1">'BS25'!$G$80,'BS25'!$G$81,'BS25'!$G$85,'BS25'!$G$93,'BS25'!$G$97,'BS25'!$G$101,'BS25'!$G$102,'BS25'!$G$103,'BS25'!$G$109,'BS25'!$G$110,'BS25'!$G$111,'BS25'!$G$112,'BS25'!$G$119,'BS25'!$G$123,'BS25'!$G$124</definedName>
    <definedName name="QB_FORMULA_1" localSheetId="1" hidden="1">'PL24'!$I$113,'PL24'!$I$116,'PL24'!$I$129,'PL24'!$I$132,'PL24'!$I$149,'PL24'!$I$154,'PL24'!$I$158,'PL24'!$I$160,'PL24'!$I$161,'PL24'!$I$168,'PL24'!$I$169,'PL24'!$I$173,'PL24'!$I$174,'PL24'!$I$175</definedName>
    <definedName name="QB_FORMULA_1" localSheetId="2" hidden="1">'PL25'!$I$103,'PL25'!$I$111,'PL25'!$I$115,'PL25'!$I$128,'PL25'!$I$130,'PL25'!$I$141,'PL25'!$I$150,'PL25'!$I$156,'PL25'!$I$159,'PL25'!$I$160,'PL25'!$I$161,'PL25'!$I$167,'PL25'!$I$168,'PL25'!$I$173,'PL25'!$I$174,'PL25'!$I$175</definedName>
    <definedName name="QB_ROW_1" localSheetId="0" hidden="1">'BS24'!$A$2</definedName>
    <definedName name="QB_ROW_1" localSheetId="3" hidden="1">'BS25'!$A$2</definedName>
    <definedName name="QB_ROW_10031" localSheetId="0" hidden="1">'BS24'!$D$65</definedName>
    <definedName name="QB_ROW_10031" localSheetId="3" hidden="1">'BS25'!$D$65</definedName>
    <definedName name="QB_ROW_1011" localSheetId="0" hidden="1">'BS24'!$B$3</definedName>
    <definedName name="QB_ROW_1011" localSheetId="3" hidden="1">'BS25'!$B$3</definedName>
    <definedName name="QB_ROW_10210" localSheetId="4" hidden="1">'TB24'!$B$225</definedName>
    <definedName name="QB_ROW_10210" localSheetId="5" hidden="1">'TB25'!$B$223</definedName>
    <definedName name="QB_ROW_10250" localSheetId="1" hidden="1">'PL24'!$F$134</definedName>
    <definedName name="QB_ROW_10250" localSheetId="2" hidden="1">'PL25'!$F$132</definedName>
    <definedName name="QB_ROW_10331" localSheetId="0" hidden="1">'BS24'!$D$69</definedName>
    <definedName name="QB_ROW_10331" localSheetId="3" hidden="1">'BS25'!$D$69</definedName>
    <definedName name="QB_ROW_104210" localSheetId="4" hidden="1">'TB24'!$B$23</definedName>
    <definedName name="QB_ROW_104210" localSheetId="5" hidden="1">'TB25'!$B$23</definedName>
    <definedName name="QB_ROW_104230" localSheetId="0" hidden="1">'BS24'!$D$23</definedName>
    <definedName name="QB_ROW_105210" localSheetId="4" hidden="1">'TB24'!$B$168</definedName>
    <definedName name="QB_ROW_105260" localSheetId="1" hidden="1">'PL24'!$G$48</definedName>
    <definedName name="QB_ROW_106060" localSheetId="1" hidden="1">'PL24'!$G$107</definedName>
    <definedName name="QB_ROW_106060" localSheetId="2" hidden="1">'PL25'!$G$105</definedName>
    <definedName name="QB_ROW_106360" localSheetId="1" hidden="1">'PL24'!$G$113</definedName>
    <definedName name="QB_ROW_106360" localSheetId="2" hidden="1">'PL25'!$G$111</definedName>
    <definedName name="QB_ROW_107210" localSheetId="4" hidden="1">'TB24'!$B$205</definedName>
    <definedName name="QB_ROW_107210" localSheetId="5" hidden="1">'TB25'!$B$202</definedName>
    <definedName name="QB_ROW_107270" localSheetId="1" hidden="1">'PL24'!$H$108</definedName>
    <definedName name="QB_ROW_107270" localSheetId="2" hidden="1">'PL25'!$H$106</definedName>
    <definedName name="QB_ROW_108210" localSheetId="4" hidden="1">'TB24'!$B$206</definedName>
    <definedName name="QB_ROW_108210" localSheetId="5" hidden="1">'TB25'!$B$203</definedName>
    <definedName name="QB_ROW_108270" localSheetId="1" hidden="1">'PL24'!$H$109</definedName>
    <definedName name="QB_ROW_108270" localSheetId="2" hidden="1">'PL25'!$H$107</definedName>
    <definedName name="QB_ROW_109210" localSheetId="4" hidden="1">'TB24'!$B$207</definedName>
    <definedName name="QB_ROW_109210" localSheetId="5" hidden="1">'TB25'!$B$204</definedName>
    <definedName name="QB_ROW_109270" localSheetId="1" hidden="1">'PL24'!$H$110</definedName>
    <definedName name="QB_ROW_109270" localSheetId="2" hidden="1">'PL25'!$H$108</definedName>
    <definedName name="QB_ROW_110210" localSheetId="4" hidden="1">'TB24'!$B$208</definedName>
    <definedName name="QB_ROW_110210" localSheetId="5" hidden="1">'TB25'!$B$205</definedName>
    <definedName name="QB_ROW_110270" localSheetId="1" hidden="1">'PL24'!$H$111</definedName>
    <definedName name="QB_ROW_110270" localSheetId="2" hidden="1">'PL25'!$H$109</definedName>
    <definedName name="QB_ROW_11031" localSheetId="0" hidden="1">'BS24'!$D$70</definedName>
    <definedName name="QB_ROW_11031" localSheetId="3" hidden="1">'BS25'!$D$70</definedName>
    <definedName name="QB_ROW_111210" localSheetId="4" hidden="1">'TB24'!$B$209</definedName>
    <definedName name="QB_ROW_111210" localSheetId="5" hidden="1">'TB25'!$B$206</definedName>
    <definedName name="QB_ROW_111270" localSheetId="1" hidden="1">'PL24'!$H$112</definedName>
    <definedName name="QB_ROW_111270" localSheetId="2" hidden="1">'PL25'!$H$110</definedName>
    <definedName name="QB_ROW_11210" localSheetId="4" hidden="1">'TB24'!$B$186</definedName>
    <definedName name="QB_ROW_11210" localSheetId="5" hidden="1">'TB25'!$B$184</definedName>
    <definedName name="QB_ROW_112210" localSheetId="4" hidden="1">'TB24'!$B$167</definedName>
    <definedName name="QB_ROW_112210" localSheetId="5" hidden="1">'TB25'!$B$166</definedName>
    <definedName name="QB_ROW_112260" localSheetId="1" hidden="1">'PL24'!$G$47</definedName>
    <definedName name="QB_ROW_112260" localSheetId="2" hidden="1">'PL25'!$G$47</definedName>
    <definedName name="QB_ROW_11250" localSheetId="1" hidden="1">'PL24'!$F$79</definedName>
    <definedName name="QB_ROW_11250" localSheetId="2" hidden="1">'PL25'!$F$78</definedName>
    <definedName name="QB_ROW_113040" localSheetId="1" hidden="1">'PL24'!$E$56</definedName>
    <definedName name="QB_ROW_113040" localSheetId="2" hidden="1">'PL25'!$E$54</definedName>
    <definedName name="QB_ROW_113210" localSheetId="4" hidden="1">'TB24'!$B$170</definedName>
    <definedName name="QB_ROW_113210" localSheetId="5" hidden="1">'TB25'!$B$167</definedName>
    <definedName name="QB_ROW_113250" localSheetId="1" hidden="1">'PL24'!$F$75</definedName>
    <definedName name="QB_ROW_113250" localSheetId="2" hidden="1">'PL25'!$F$74</definedName>
    <definedName name="QB_ROW_11331" localSheetId="0" hidden="1">'BS24'!$D$81</definedName>
    <definedName name="QB_ROW_11331" localSheetId="3" hidden="1">'BS25'!$D$81</definedName>
    <definedName name="QB_ROW_113340" localSheetId="1" hidden="1">'PL24'!$E$76</definedName>
    <definedName name="QB_ROW_113340" localSheetId="2" hidden="1">'PL25'!$E$75</definedName>
    <definedName name="QB_ROW_116210" localSheetId="4" hidden="1">'TB24'!$B$171</definedName>
    <definedName name="QB_ROW_116210" localSheetId="5" hidden="1">'TB25'!$B$168</definedName>
    <definedName name="QB_ROW_116250" localSheetId="1" hidden="1">'PL24'!$F$57</definedName>
    <definedName name="QB_ROW_116250" localSheetId="2" hidden="1">'PL25'!$F$55</definedName>
    <definedName name="QB_ROW_117050" localSheetId="1" hidden="1">'PL24'!$F$58</definedName>
    <definedName name="QB_ROW_117050" localSheetId="2" hidden="1">'PL25'!$F$56</definedName>
    <definedName name="QB_ROW_117210" localSheetId="4" hidden="1">'TB24'!$B$172</definedName>
    <definedName name="QB_ROW_117210" localSheetId="5" hidden="1">'TB25'!$B$169</definedName>
    <definedName name="QB_ROW_117260" localSheetId="1" hidden="1">'PL24'!$G$62</definedName>
    <definedName name="QB_ROW_117260" localSheetId="2" hidden="1">'PL25'!$G$60</definedName>
    <definedName name="QB_ROW_117350" localSheetId="1" hidden="1">'PL24'!$F$63</definedName>
    <definedName name="QB_ROW_117350" localSheetId="2" hidden="1">'PL25'!$F$61</definedName>
    <definedName name="QB_ROW_118210" localSheetId="4" hidden="1">'TB24'!$B$173</definedName>
    <definedName name="QB_ROW_118210" localSheetId="5" hidden="1">'TB25'!$B$170</definedName>
    <definedName name="QB_ROW_118260" localSheetId="1" hidden="1">'PL24'!$G$59</definedName>
    <definedName name="QB_ROW_118260" localSheetId="2" hidden="1">'PL25'!$G$57</definedName>
    <definedName name="QB_ROW_119210" localSheetId="4" hidden="1">'TB24'!$B$174</definedName>
    <definedName name="QB_ROW_119210" localSheetId="5" hidden="1">'TB25'!$B$171</definedName>
    <definedName name="QB_ROW_119260" localSheetId="1" hidden="1">'PL24'!$G$60</definedName>
    <definedName name="QB_ROW_119260" localSheetId="2" hidden="1">'PL25'!$G$58</definedName>
    <definedName name="QB_ROW_120210" localSheetId="4" hidden="1">'TB24'!$B$175</definedName>
    <definedName name="QB_ROW_120210" localSheetId="5" hidden="1">'TB25'!$B$172</definedName>
    <definedName name="QB_ROW_120260" localSheetId="1" hidden="1">'PL24'!$G$61</definedName>
    <definedName name="QB_ROW_120260" localSheetId="2" hidden="1">'PL25'!$G$59</definedName>
    <definedName name="QB_ROW_12031" localSheetId="0" hidden="1">'BS24'!$D$82</definedName>
    <definedName name="QB_ROW_12031" localSheetId="3" hidden="1">'BS25'!$D$82</definedName>
    <definedName name="QB_ROW_12040" localSheetId="1" hidden="1">'PL24'!$E$155</definedName>
    <definedName name="QB_ROW_12040" localSheetId="2" hidden="1">'PL25'!$E$157</definedName>
    <definedName name="QB_ROW_121210" localSheetId="4" hidden="1">'TB24'!$B$176</definedName>
    <definedName name="QB_ROW_121210" localSheetId="5" hidden="1">'TB25'!$B$173</definedName>
    <definedName name="QB_ROW_121250" localSheetId="1" hidden="1">'PL24'!$F$64</definedName>
    <definedName name="QB_ROW_121250" localSheetId="2" hidden="1">'PL25'!$F$62</definedName>
    <definedName name="QB_ROW_12210" localSheetId="4" hidden="1">'TB24'!$B$243</definedName>
    <definedName name="QB_ROW_122210" localSheetId="4" hidden="1">'TB24'!$B$177</definedName>
    <definedName name="QB_ROW_122210" localSheetId="5" hidden="1">'TB25'!$B$174</definedName>
    <definedName name="QB_ROW_122250" localSheetId="1" hidden="1">'PL24'!$F$65</definedName>
    <definedName name="QB_ROW_122250" localSheetId="2" hidden="1">'PL25'!$F$63</definedName>
    <definedName name="QB_ROW_12250" localSheetId="1" hidden="1">'PL24'!$F$157</definedName>
    <definedName name="QB_ROW_123210" localSheetId="4" hidden="1">'TB24'!$B$178</definedName>
    <definedName name="QB_ROW_123210" localSheetId="5" hidden="1">'TB25'!$B$175</definedName>
    <definedName name="QB_ROW_123250" localSheetId="1" hidden="1">'PL24'!$F$66</definedName>
    <definedName name="QB_ROW_123250" localSheetId="2" hidden="1">'PL25'!$F$64</definedName>
    <definedName name="QB_ROW_12331" localSheetId="0" hidden="1">'BS24'!$D$100</definedName>
    <definedName name="QB_ROW_12331" localSheetId="3" hidden="1">'BS25'!$D$102</definedName>
    <definedName name="QB_ROW_12340" localSheetId="1" hidden="1">'PL24'!$E$158</definedName>
    <definedName name="QB_ROW_12340" localSheetId="2" hidden="1">'PL25'!$E$159</definedName>
    <definedName name="QB_ROW_124050" localSheetId="1" hidden="1">'PL24'!$F$68</definedName>
    <definedName name="QB_ROW_124050" localSheetId="2" hidden="1">'PL25'!$F$66</definedName>
    <definedName name="QB_ROW_124210" localSheetId="5" hidden="1">'TB25'!$B$177</definedName>
    <definedName name="QB_ROW_124260" localSheetId="2" hidden="1">'PL25'!$G$72</definedName>
    <definedName name="QB_ROW_124350" localSheetId="1" hidden="1">'PL24'!$F$74</definedName>
    <definedName name="QB_ROW_124350" localSheetId="2" hidden="1">'PL25'!$F$73</definedName>
    <definedName name="QB_ROW_125210" localSheetId="4" hidden="1">'TB24'!$B$180</definedName>
    <definedName name="QB_ROW_125210" localSheetId="5" hidden="1">'TB25'!$B$178</definedName>
    <definedName name="QB_ROW_125260" localSheetId="1" hidden="1">'PL24'!$G$69</definedName>
    <definedName name="QB_ROW_125260" localSheetId="2" hidden="1">'PL25'!$G$67</definedName>
    <definedName name="QB_ROW_126210" localSheetId="4" hidden="1">'TB24'!$B$181</definedName>
    <definedName name="QB_ROW_126210" localSheetId="5" hidden="1">'TB25'!$B$179</definedName>
    <definedName name="QB_ROW_126260" localSheetId="1" hidden="1">'PL24'!$G$70</definedName>
    <definedName name="QB_ROW_126260" localSheetId="2" hidden="1">'PL25'!$G$68</definedName>
    <definedName name="QB_ROW_127210" localSheetId="4" hidden="1">'TB24'!$B$182</definedName>
    <definedName name="QB_ROW_127210" localSheetId="5" hidden="1">'TB25'!$B$180</definedName>
    <definedName name="QB_ROW_127260" localSheetId="1" hidden="1">'PL24'!$G$71</definedName>
    <definedName name="QB_ROW_127260" localSheetId="2" hidden="1">'PL25'!$G$69</definedName>
    <definedName name="QB_ROW_128210" localSheetId="4" hidden="1">'TB24'!$B$187</definedName>
    <definedName name="QB_ROW_128210" localSheetId="5" hidden="1">'TB25'!$B$185</definedName>
    <definedName name="QB_ROW_128250" localSheetId="1" hidden="1">'PL24'!$F$80</definedName>
    <definedName name="QB_ROW_128250" localSheetId="2" hidden="1">'PL25'!$F$79</definedName>
    <definedName name="QB_ROW_129210" localSheetId="4" hidden="1">'TB24'!$B$229</definedName>
    <definedName name="QB_ROW_129210" localSheetId="5" hidden="1">'TB25'!$B$226</definedName>
    <definedName name="QB_ROW_129250" localSheetId="1" hidden="1">'PL24'!$F$138</definedName>
    <definedName name="QB_ROW_129250" localSheetId="2" hidden="1">'PL25'!$F$135</definedName>
    <definedName name="QB_ROW_13021" localSheetId="0" hidden="1">'BS24'!$C$102</definedName>
    <definedName name="QB_ROW_13021" localSheetId="3" hidden="1">'BS25'!$C$104</definedName>
    <definedName name="QB_ROW_130210" localSheetId="4" hidden="1">'TB24'!$B$189</definedName>
    <definedName name="QB_ROW_130210" localSheetId="5" hidden="1">'TB25'!$B$187</definedName>
    <definedName name="QB_ROW_130250" localSheetId="1" hidden="1">'PL24'!$F$82</definedName>
    <definedName name="QB_ROW_130250" localSheetId="2" hidden="1">'PL25'!$F$81</definedName>
    <definedName name="QB_ROW_1311" localSheetId="0" hidden="1">'BS24'!$B$42</definedName>
    <definedName name="QB_ROW_1311" localSheetId="3" hidden="1">'BS25'!$B$42</definedName>
    <definedName name="QB_ROW_131210" localSheetId="4" hidden="1">'TB24'!$B$191</definedName>
    <definedName name="QB_ROW_131210" localSheetId="5" hidden="1">'TB25'!$B$188</definedName>
    <definedName name="QB_ROW_131260" localSheetId="1" hidden="1">'PL24'!$G$84</definedName>
    <definedName name="QB_ROW_131260" localSheetId="2" hidden="1">'PL25'!$G$83</definedName>
    <definedName name="QB_ROW_132210" localSheetId="4" hidden="1">'TB24'!$B$192</definedName>
    <definedName name="QB_ROW_132210" localSheetId="5" hidden="1">'TB25'!$B$189</definedName>
    <definedName name="QB_ROW_132260" localSheetId="1" hidden="1">'PL24'!$G$85</definedName>
    <definedName name="QB_ROW_132260" localSheetId="2" hidden="1">'PL25'!$G$84</definedName>
    <definedName name="QB_ROW_13321" localSheetId="0" hidden="1">'BS24'!$C$109</definedName>
    <definedName name="QB_ROW_13321" localSheetId="3" hidden="1">'BS25'!$C$111</definedName>
    <definedName name="QB_ROW_133210" localSheetId="4" hidden="1">'TB24'!$B$193</definedName>
    <definedName name="QB_ROW_133210" localSheetId="5" hidden="1">'TB25'!$B$190</definedName>
    <definedName name="QB_ROW_133260" localSheetId="1" hidden="1">'PL24'!$G$86</definedName>
    <definedName name="QB_ROW_133260" localSheetId="2" hidden="1">'PL25'!$G$85</definedName>
    <definedName name="QB_ROW_134210" localSheetId="4" hidden="1">'TB24'!$B$200</definedName>
    <definedName name="QB_ROW_134210" localSheetId="5" hidden="1">'TB25'!$B$197</definedName>
    <definedName name="QB_ROW_134260" localSheetId="1" hidden="1">'PL24'!$G$97</definedName>
    <definedName name="QB_ROW_134260" localSheetId="2" hidden="1">'PL25'!$G$95</definedName>
    <definedName name="QB_ROW_135210" localSheetId="4" hidden="1">'TB24'!$B$194</definedName>
    <definedName name="QB_ROW_135210" localSheetId="5" hidden="1">'TB25'!$B$191</definedName>
    <definedName name="QB_ROW_135260" localSheetId="1" hidden="1">'PL24'!$G$87</definedName>
    <definedName name="QB_ROW_135260" localSheetId="2" hidden="1">'PL25'!$G$86</definedName>
    <definedName name="QB_ROW_136210" localSheetId="4" hidden="1">'TB24'!$B$195</definedName>
    <definedName name="QB_ROW_136210" localSheetId="5" hidden="1">'TB25'!$B$192</definedName>
    <definedName name="QB_ROW_136260" localSheetId="1" hidden="1">'PL24'!$G$88</definedName>
    <definedName name="QB_ROW_136260" localSheetId="2" hidden="1">'PL25'!$G$87</definedName>
    <definedName name="QB_ROW_137050" localSheetId="1" hidden="1">'PL24'!$F$91</definedName>
    <definedName name="QB_ROW_137050" localSheetId="2" hidden="1">'PL25'!$F$89</definedName>
    <definedName name="QB_ROW_137350" localSheetId="1" hidden="1">'PL24'!$F$95</definedName>
    <definedName name="QB_ROW_137350" localSheetId="2" hidden="1">'PL25'!$F$93</definedName>
    <definedName name="QB_ROW_138210" localSheetId="4" hidden="1">'TB24'!$B$197</definedName>
    <definedName name="QB_ROW_138210" localSheetId="5" hidden="1">'TB25'!$B$194</definedName>
    <definedName name="QB_ROW_138260" localSheetId="1" hidden="1">'PL24'!$G$93</definedName>
    <definedName name="QB_ROW_138260" localSheetId="2" hidden="1">'PL25'!$G$91</definedName>
    <definedName name="QB_ROW_139210" localSheetId="4" hidden="1">'TB24'!$B$198</definedName>
    <definedName name="QB_ROW_139210" localSheetId="5" hidden="1">'TB25'!$B$195</definedName>
    <definedName name="QB_ROW_139260" localSheetId="1" hidden="1">'PL24'!$G$94</definedName>
    <definedName name="QB_ROW_139260" localSheetId="2" hidden="1">'PL25'!$G$92</definedName>
    <definedName name="QB_ROW_14011" localSheetId="0" hidden="1">'BS24'!$B$111</definedName>
    <definedName name="QB_ROW_14011" localSheetId="3" hidden="1">'BS25'!$B$113</definedName>
    <definedName name="QB_ROW_140210" localSheetId="4" hidden="1">'TB24'!$B$250</definedName>
    <definedName name="QB_ROW_140210" localSheetId="5" hidden="1">'TB25'!$B$246</definedName>
    <definedName name="QB_ROW_140230" localSheetId="1" hidden="1">'PL24'!$D$172</definedName>
    <definedName name="QB_ROW_140230" localSheetId="2" hidden="1">'PL25'!$D$171</definedName>
    <definedName name="QB_ROW_14050" localSheetId="1" hidden="1">'PL24'!$F$83</definedName>
    <definedName name="QB_ROW_14050" localSheetId="2" hidden="1">'PL25'!$F$82</definedName>
    <definedName name="QB_ROW_141210" localSheetId="4" hidden="1">'TB24'!$B$216</definedName>
    <definedName name="QB_ROW_141210" localSheetId="5" hidden="1">'TB25'!$B$214</definedName>
    <definedName name="QB_ROW_141260" localSheetId="1" hidden="1">'PL24'!$G$121</definedName>
    <definedName name="QB_ROW_141260" localSheetId="2" hidden="1">'PL25'!$G$120</definedName>
    <definedName name="QB_ROW_14210" localSheetId="4" hidden="1">'TB24'!$B$190</definedName>
    <definedName name="QB_ROW_142210" localSheetId="4" hidden="1">'TB24'!$B$217</definedName>
    <definedName name="QB_ROW_142210" localSheetId="5" hidden="1">'TB25'!$B$215</definedName>
    <definedName name="QB_ROW_142260" localSheetId="1" hidden="1">'PL24'!$G$122</definedName>
    <definedName name="QB_ROW_142260" localSheetId="2" hidden="1">'PL25'!$G$121</definedName>
    <definedName name="QB_ROW_14260" localSheetId="1" hidden="1">'PL24'!$G$89</definedName>
    <definedName name="QB_ROW_14311" localSheetId="0" hidden="1">'BS24'!$B$121</definedName>
    <definedName name="QB_ROW_14311" localSheetId="3" hidden="1">'BS25'!$B$123</definedName>
    <definedName name="QB_ROW_143210" localSheetId="4" hidden="1">'TB24'!$B$219</definedName>
    <definedName name="QB_ROW_143210" localSheetId="5" hidden="1">'TB25'!$B$217</definedName>
    <definedName name="QB_ROW_143260" localSheetId="1" hidden="1">'PL24'!$G$124</definedName>
    <definedName name="QB_ROW_143260" localSheetId="2" hidden="1">'PL25'!$G$123</definedName>
    <definedName name="QB_ROW_14350" localSheetId="1" hidden="1">'PL24'!$F$90</definedName>
    <definedName name="QB_ROW_14350" localSheetId="2" hidden="1">'PL25'!$F$88</definedName>
    <definedName name="QB_ROW_144210" localSheetId="4" hidden="1">'TB24'!$B$220</definedName>
    <definedName name="QB_ROW_144210" localSheetId="5" hidden="1">'TB25'!$B$218</definedName>
    <definedName name="QB_ROW_144260" localSheetId="1" hidden="1">'PL24'!$G$125</definedName>
    <definedName name="QB_ROW_144260" localSheetId="2" hidden="1">'PL25'!$G$124</definedName>
    <definedName name="QB_ROW_145030" localSheetId="1" hidden="1">'PL24'!$D$164</definedName>
    <definedName name="QB_ROW_145030" localSheetId="2" hidden="1">'PL25'!$D$164</definedName>
    <definedName name="QB_ROW_145210" localSheetId="4" hidden="1">'TB24'!$B$246</definedName>
    <definedName name="QB_ROW_145240" localSheetId="1" hidden="1">'PL24'!$E$167</definedName>
    <definedName name="QB_ROW_145330" localSheetId="1" hidden="1">'PL24'!$D$168</definedName>
    <definedName name="QB_ROW_145330" localSheetId="2" hidden="1">'PL25'!$D$167</definedName>
    <definedName name="QB_ROW_146210" localSheetId="4" hidden="1">'TB24'!$B$247</definedName>
    <definedName name="QB_ROW_146210" localSheetId="5" hidden="1">'TB25'!$B$243</definedName>
    <definedName name="QB_ROW_146240" localSheetId="1" hidden="1">'PL24'!$E$165</definedName>
    <definedName name="QB_ROW_146240" localSheetId="2" hidden="1">'PL25'!$E$165</definedName>
    <definedName name="QB_ROW_147210" localSheetId="4" hidden="1">'TB24'!$B$248</definedName>
    <definedName name="QB_ROW_147210" localSheetId="5" hidden="1">'TB25'!$B$244</definedName>
    <definedName name="QB_ROW_147240" localSheetId="1" hidden="1">'PL24'!$E$166</definedName>
    <definedName name="QB_ROW_147240" localSheetId="2" hidden="1">'PL25'!$E$166</definedName>
    <definedName name="QB_ROW_148040" localSheetId="1" hidden="1">'PL24'!$E$133</definedName>
    <definedName name="QB_ROW_148040" localSheetId="2" hidden="1">'PL25'!$E$131</definedName>
    <definedName name="QB_ROW_148210" localSheetId="5" hidden="1">'TB25'!$B$222</definedName>
    <definedName name="QB_ROW_148250" localSheetId="2" hidden="1">'PL25'!$F$155</definedName>
    <definedName name="QB_ROW_148340" localSheetId="1" hidden="1">'PL24'!$E$154</definedName>
    <definedName name="QB_ROW_148340" localSheetId="2" hidden="1">'PL25'!$E$156</definedName>
    <definedName name="QB_ROW_149210" localSheetId="4" hidden="1">'TB24'!$B$226</definedName>
    <definedName name="QB_ROW_149210" localSheetId="5" hidden="1">'TB25'!$B$224</definedName>
    <definedName name="QB_ROW_149250" localSheetId="1" hidden="1">'PL24'!$F$135</definedName>
    <definedName name="QB_ROW_149250" localSheetId="2" hidden="1">'PL25'!$F$133</definedName>
    <definedName name="QB_ROW_150210" localSheetId="4" hidden="1">'TB24'!$B$227</definedName>
    <definedName name="QB_ROW_150210" localSheetId="5" hidden="1">'TB25'!$B$225</definedName>
    <definedName name="QB_ROW_150250" localSheetId="1" hidden="1">'PL24'!$F$136</definedName>
    <definedName name="QB_ROW_150250" localSheetId="2" hidden="1">'PL25'!$F$134</definedName>
    <definedName name="QB_ROW_151210" localSheetId="4" hidden="1">'TB24'!$B$228</definedName>
    <definedName name="QB_ROW_151250" localSheetId="1" hidden="1">'PL24'!$F$137</definedName>
    <definedName name="QB_ROW_15210" localSheetId="4" hidden="1">'TB24'!$B$218</definedName>
    <definedName name="QB_ROW_15210" localSheetId="5" hidden="1">'TB25'!$B$216</definedName>
    <definedName name="QB_ROW_152210" localSheetId="4" hidden="1">'TB24'!$B$230</definedName>
    <definedName name="QB_ROW_152210" localSheetId="5" hidden="1">'TB25'!$B$227</definedName>
    <definedName name="QB_ROW_152250" localSheetId="1" hidden="1">'PL24'!$F$139</definedName>
    <definedName name="QB_ROW_152250" localSheetId="2" hidden="1">'PL25'!$F$136</definedName>
    <definedName name="QB_ROW_15260" localSheetId="1" hidden="1">'PL24'!$G$123</definedName>
    <definedName name="QB_ROW_15260" localSheetId="2" hidden="1">'PL25'!$G$122</definedName>
    <definedName name="QB_ROW_153210" localSheetId="4" hidden="1">'TB24'!$B$231</definedName>
    <definedName name="QB_ROW_153210" localSheetId="5" hidden="1">'TB25'!$B$228</definedName>
    <definedName name="QB_ROW_153250" localSheetId="1" hidden="1">'PL24'!$F$140</definedName>
    <definedName name="QB_ROW_153250" localSheetId="2" hidden="1">'PL25'!$F$137</definedName>
    <definedName name="QB_ROW_154210" localSheetId="4" hidden="1">'TB24'!$B$223</definedName>
    <definedName name="QB_ROW_154210" localSheetId="5" hidden="1">'TB25'!$B$221</definedName>
    <definedName name="QB_ROW_154250" localSheetId="1" hidden="1">'PL24'!$F$130</definedName>
    <definedName name="QB_ROW_154250" localSheetId="2" hidden="1">'PL25'!$F$129</definedName>
    <definedName name="QB_ROW_155050" localSheetId="2" hidden="1">'PL25'!$F$138</definedName>
    <definedName name="QB_ROW_155210" localSheetId="4" hidden="1">'TB24'!$B$232</definedName>
    <definedName name="QB_ROW_155210" localSheetId="5" hidden="1">'TB25'!$B$229</definedName>
    <definedName name="QB_ROW_155260" localSheetId="2" hidden="1">'PL25'!$G$140</definedName>
    <definedName name="QB_ROW_155350" localSheetId="1" hidden="1">'PL24'!$F$141</definedName>
    <definedName name="QB_ROW_155350" localSheetId="2" hidden="1">'PL25'!$F$141</definedName>
    <definedName name="QB_ROW_156210" localSheetId="4" hidden="1">'TB24'!$B$233</definedName>
    <definedName name="QB_ROW_156210" localSheetId="5" hidden="1">'TB25'!$B$231</definedName>
    <definedName name="QB_ROW_156250" localSheetId="1" hidden="1">'PL24'!$F$142</definedName>
    <definedName name="QB_ROW_156250" localSheetId="2" hidden="1">'PL25'!$F$142</definedName>
    <definedName name="QB_ROW_157210" localSheetId="4" hidden="1">'TB24'!$B$234</definedName>
    <definedName name="QB_ROW_157210" localSheetId="5" hidden="1">'TB25'!$B$232</definedName>
    <definedName name="QB_ROW_157250" localSheetId="1" hidden="1">'PL24'!$F$143</definedName>
    <definedName name="QB_ROW_157250" localSheetId="2" hidden="1">'PL25'!$F$143</definedName>
    <definedName name="QB_ROW_158050" localSheetId="1" hidden="1">'PL24'!$F$144</definedName>
    <definedName name="QB_ROW_158050" localSheetId="2" hidden="1">'PL25'!$F$144</definedName>
    <definedName name="QB_ROW_158210" localSheetId="4" hidden="1">'TB24'!$B$235</definedName>
    <definedName name="QB_ROW_158260" localSheetId="1" hidden="1">'PL24'!$G$148</definedName>
    <definedName name="QB_ROW_158350" localSheetId="1" hidden="1">'PL24'!$F$149</definedName>
    <definedName name="QB_ROW_158350" localSheetId="2" hidden="1">'PL25'!$F$150</definedName>
    <definedName name="QB_ROW_159210" localSheetId="4" hidden="1">'TB24'!$B$236</definedName>
    <definedName name="QB_ROW_159210" localSheetId="5" hidden="1">'TB25'!$B$233</definedName>
    <definedName name="QB_ROW_159260" localSheetId="1" hidden="1">'PL24'!$G$145</definedName>
    <definedName name="QB_ROW_159260" localSheetId="2" hidden="1">'PL25'!$G$145</definedName>
    <definedName name="QB_ROW_160210" localSheetId="4" hidden="1">'TB24'!$B$237</definedName>
    <definedName name="QB_ROW_160210" localSheetId="5" hidden="1">'TB25'!$B$234</definedName>
    <definedName name="QB_ROW_160260" localSheetId="1" hidden="1">'PL24'!$G$146</definedName>
    <definedName name="QB_ROW_160260" localSheetId="2" hidden="1">'PL25'!$G$146</definedName>
    <definedName name="QB_ROW_161210" localSheetId="4" hidden="1">'TB24'!$B$238</definedName>
    <definedName name="QB_ROW_161210" localSheetId="5" hidden="1">'TB25'!$B$235</definedName>
    <definedName name="QB_ROW_161260" localSheetId="1" hidden="1">'PL24'!$G$147</definedName>
    <definedName name="QB_ROW_161260" localSheetId="2" hidden="1">'PL25'!$G$147</definedName>
    <definedName name="QB_ROW_16210" localSheetId="4" hidden="1">'TB24'!$B$249</definedName>
    <definedName name="QB_ROW_16210" localSheetId="5" hidden="1">'TB25'!$B$245</definedName>
    <definedName name="QB_ROW_162210" localSheetId="5" hidden="1">'TB25'!$B$236</definedName>
    <definedName name="QB_ROW_162260" localSheetId="2" hidden="1">'PL25'!$G$148</definedName>
    <definedName name="QB_ROW_16230" localSheetId="1" hidden="1">'PL24'!$D$171</definedName>
    <definedName name="QB_ROW_16230" localSheetId="2" hidden="1">'PL25'!$D$170</definedName>
    <definedName name="QB_ROW_164050" localSheetId="1" hidden="1">'PL24'!$F$106</definedName>
    <definedName name="QB_ROW_164050" localSheetId="2" hidden="1">'PL25'!$F$104</definedName>
    <definedName name="QB_ROW_164350" localSheetId="1" hidden="1">'PL24'!$F$116</definedName>
    <definedName name="QB_ROW_164350" localSheetId="2" hidden="1">'PL25'!$F$115</definedName>
    <definedName name="QB_ROW_165210" localSheetId="4" hidden="1">'TB24'!$B$210</definedName>
    <definedName name="QB_ROW_165210" localSheetId="5" hidden="1">'TB25'!$B$207</definedName>
    <definedName name="QB_ROW_165260" localSheetId="1" hidden="1">'PL24'!$G$114</definedName>
    <definedName name="QB_ROW_165260" localSheetId="2" hidden="1">'PL25'!$G$112</definedName>
    <definedName name="QB_ROW_166210" localSheetId="4" hidden="1">'TB24'!$B$211</definedName>
    <definedName name="QB_ROW_166210" localSheetId="5" hidden="1">'TB25'!$B$208</definedName>
    <definedName name="QB_ROW_166260" localSheetId="1" hidden="1">'PL24'!$G$115</definedName>
    <definedName name="QB_ROW_166260" localSheetId="2" hidden="1">'PL25'!$G$113</definedName>
    <definedName name="QB_ROW_167210" localSheetId="5" hidden="1">'TB25'!$B$209</definedName>
    <definedName name="QB_ROW_167260" localSheetId="2" hidden="1">'PL25'!$G$114</definedName>
    <definedName name="QB_ROW_17221" localSheetId="0" hidden="1">'BS24'!$C$120</definedName>
    <definedName name="QB_ROW_17221" localSheetId="3" hidden="1">'BS25'!$C$122</definedName>
    <definedName name="QB_ROW_173210" localSheetId="4" hidden="1">'TB24'!$B$166</definedName>
    <definedName name="QB_ROW_173210" localSheetId="5" hidden="1">'TB25'!$B$165</definedName>
    <definedName name="QB_ROW_173260" localSheetId="1" hidden="1">'PL24'!$G$46</definedName>
    <definedName name="QB_ROW_173260" localSheetId="2" hidden="1">'PL25'!$G$46</definedName>
    <definedName name="QB_ROW_174040" localSheetId="0" hidden="1">'BS24'!$E$71</definedName>
    <definedName name="QB_ROW_174040" localSheetId="3" hidden="1">'BS25'!$E$71</definedName>
    <definedName name="QB_ROW_174210" localSheetId="4" hidden="1">'TB24'!$B$68</definedName>
    <definedName name="QB_ROW_174210" localSheetId="5" hidden="1">'TB25'!$B$68</definedName>
    <definedName name="QB_ROW_174250" localSheetId="0" hidden="1">'BS24'!$F$79</definedName>
    <definedName name="QB_ROW_174250" localSheetId="3" hidden="1">'BS25'!$F$79</definedName>
    <definedName name="QB_ROW_174340" localSheetId="0" hidden="1">'BS24'!$E$80</definedName>
    <definedName name="QB_ROW_174340" localSheetId="3" hidden="1">'BS25'!$E$80</definedName>
    <definedName name="QB_ROW_175210" localSheetId="4" hidden="1">'TB24'!$B$69</definedName>
    <definedName name="QB_ROW_175210" localSheetId="5" hidden="1">'TB25'!$B$69</definedName>
    <definedName name="QB_ROW_175250" localSheetId="0" hidden="1">'BS24'!$F$72</definedName>
    <definedName name="QB_ROW_175250" localSheetId="3" hidden="1">'BS25'!$F$72</definedName>
    <definedName name="QB_ROW_176210" localSheetId="4" hidden="1">'TB24'!$B$188</definedName>
    <definedName name="QB_ROW_176210" localSheetId="5" hidden="1">'TB25'!$B$186</definedName>
    <definedName name="QB_ROW_176250" localSheetId="1" hidden="1">'PL24'!$F$81</definedName>
    <definedName name="QB_ROW_176250" localSheetId="2" hidden="1">'PL25'!$F$80</definedName>
    <definedName name="QB_ROW_177210" localSheetId="4" hidden="1">'TB24'!$B$239</definedName>
    <definedName name="QB_ROW_177210" localSheetId="5" hidden="1">'TB25'!$B$238</definedName>
    <definedName name="QB_ROW_177250" localSheetId="1" hidden="1">'PL24'!$F$150</definedName>
    <definedName name="QB_ROW_177250" localSheetId="2" hidden="1">'PL25'!$F$151</definedName>
    <definedName name="QB_ROW_178210" localSheetId="4" hidden="1">'TB24'!$B$154</definedName>
    <definedName name="QB_ROW_178210" localSheetId="5" hidden="1">'TB25'!$B$154</definedName>
    <definedName name="QB_ROW_178260" localSheetId="1" hidden="1">'PL24'!$G$30</definedName>
    <definedName name="QB_ROW_178260" localSheetId="2" hidden="1">'PL25'!$G$32</definedName>
    <definedName name="QB_ROW_179210" localSheetId="4" hidden="1">'TB24'!$B$133</definedName>
    <definedName name="QB_ROW_179210" localSheetId="5" hidden="1">'TB25'!$B$134</definedName>
    <definedName name="QB_ROW_180020" localSheetId="0" hidden="1">'BS24'!$C$112</definedName>
    <definedName name="QB_ROW_180020" localSheetId="3" hidden="1">'BS25'!$C$114</definedName>
    <definedName name="QB_ROW_180320" localSheetId="0" hidden="1">'BS24'!$C$117</definedName>
    <definedName name="QB_ROW_180320" localSheetId="3" hidden="1">'BS25'!$C$119</definedName>
    <definedName name="QB_ROW_181210" localSheetId="4" hidden="1">'TB24'!$B$131</definedName>
    <definedName name="QB_ROW_181210" localSheetId="5" hidden="1">'TB25'!$B$132</definedName>
    <definedName name="QB_ROW_181220" localSheetId="0" hidden="1">'BS24'!$C$118</definedName>
    <definedName name="QB_ROW_181220" localSheetId="3" hidden="1">'BS25'!$C$120</definedName>
    <definedName name="QB_ROW_18210" localSheetId="4" hidden="1">'TB24'!$B$185</definedName>
    <definedName name="QB_ROW_18210" localSheetId="5" hidden="1">'TB25'!$B$183</definedName>
    <definedName name="QB_ROW_182210" localSheetId="4" hidden="1">'TB24'!$B$129</definedName>
    <definedName name="QB_ROW_182210" localSheetId="5" hidden="1">'TB25'!$B$130</definedName>
    <definedName name="QB_ROW_182230" localSheetId="0" hidden="1">'BS24'!$D$115</definedName>
    <definedName name="QB_ROW_182230" localSheetId="3" hidden="1">'BS25'!$D$117</definedName>
    <definedName name="QB_ROW_18250" localSheetId="1" hidden="1">'PL24'!$F$78</definedName>
    <definedName name="QB_ROW_18250" localSheetId="2" hidden="1">'PL25'!$F$77</definedName>
    <definedName name="QB_ROW_18301" localSheetId="1" hidden="1">'PL24'!$A$175</definedName>
    <definedName name="QB_ROW_18301" localSheetId="2" hidden="1">'PL25'!$A$175</definedName>
    <definedName name="QB_ROW_183040" localSheetId="0" hidden="1">'BS24'!$E$104</definedName>
    <definedName name="QB_ROW_183040" localSheetId="3" hidden="1">'BS25'!$E$106</definedName>
    <definedName name="QB_ROW_183340" localSheetId="0" hidden="1">'BS24'!$E$107</definedName>
    <definedName name="QB_ROW_183340" localSheetId="3" hidden="1">'BS25'!$E$109</definedName>
    <definedName name="QB_ROW_184210" localSheetId="4" hidden="1">'TB24'!$B$106</definedName>
    <definedName name="QB_ROW_184210" localSheetId="5" hidden="1">'TB25'!$B$107</definedName>
    <definedName name="QB_ROW_185210" localSheetId="4" hidden="1">'TB24'!$B$107</definedName>
    <definedName name="QB_ROW_185210" localSheetId="5" hidden="1">'TB25'!$B$108</definedName>
    <definedName name="QB_ROW_186210" localSheetId="4" hidden="1">'TB24'!$B$108</definedName>
    <definedName name="QB_ROW_186210" localSheetId="5" hidden="1">'TB25'!$B$109</definedName>
    <definedName name="QB_ROW_187210" localSheetId="4" hidden="1">'TB24'!$B$109</definedName>
    <definedName name="QB_ROW_187210" localSheetId="5" hidden="1">'TB25'!$B$110</definedName>
    <definedName name="QB_ROW_188030" localSheetId="0" hidden="1">'BS24'!$D$103</definedName>
    <definedName name="QB_ROW_188030" localSheetId="3" hidden="1">'BS25'!$D$105</definedName>
    <definedName name="QB_ROW_188330" localSheetId="0" hidden="1">'BS24'!$D$108</definedName>
    <definedName name="QB_ROW_188330" localSheetId="3" hidden="1">'BS25'!$D$110</definedName>
    <definedName name="QB_ROW_189210" localSheetId="4" hidden="1">'TB24'!$B$122</definedName>
    <definedName name="QB_ROW_189210" localSheetId="5" hidden="1">'TB25'!$B$123</definedName>
    <definedName name="QB_ROW_19011" localSheetId="1" hidden="1">'PL24'!$B$2</definedName>
    <definedName name="QB_ROW_19011" localSheetId="2" hidden="1">'PL25'!$B$2</definedName>
    <definedName name="QB_ROW_191210" localSheetId="4" hidden="1">'TB24'!$B$123</definedName>
    <definedName name="QB_ROW_191210" localSheetId="5" hidden="1">'TB25'!$B$124</definedName>
    <definedName name="QB_ROW_19210" localSheetId="4" hidden="1">'TB24'!$B$196</definedName>
    <definedName name="QB_ROW_19210" localSheetId="5" hidden="1">'TB25'!$B$193</definedName>
    <definedName name="QB_ROW_192210" localSheetId="4" hidden="1">'TB24'!$B$169</definedName>
    <definedName name="QB_ROW_192260" localSheetId="1" hidden="1">'PL24'!$G$49</definedName>
    <definedName name="QB_ROW_19260" localSheetId="1" hidden="1">'PL24'!$G$92</definedName>
    <definedName name="QB_ROW_19260" localSheetId="2" hidden="1">'PL25'!$G$90</definedName>
    <definedName name="QB_ROW_19311" localSheetId="1" hidden="1">'PL24'!$B$161</definedName>
    <definedName name="QB_ROW_19311" localSheetId="2" hidden="1">'PL25'!$B$161</definedName>
    <definedName name="QB_ROW_193210" localSheetId="4" hidden="1">'TB24'!$B$162</definedName>
    <definedName name="QB_ROW_193210" localSheetId="5" hidden="1">'TB25'!$B$161</definedName>
    <definedName name="QB_ROW_193260" localSheetId="1" hidden="1">'PL24'!$G$41</definedName>
    <definedName name="QB_ROW_193260" localSheetId="2" hidden="1">'PL25'!$G$40</definedName>
    <definedName name="QB_ROW_194210" localSheetId="4" hidden="1">'TB24'!$B$163</definedName>
    <definedName name="QB_ROW_194210" localSheetId="5" hidden="1">'TB25'!$B$162</definedName>
    <definedName name="QB_ROW_194260" localSheetId="1" hidden="1">'PL24'!$G$42</definedName>
    <definedName name="QB_ROW_194260" localSheetId="2" hidden="1">'PL25'!$G$41</definedName>
    <definedName name="QB_ROW_195040" localSheetId="0" hidden="1">'BS24'!$E$83</definedName>
    <definedName name="QB_ROW_195040" localSheetId="3" hidden="1">'BS25'!$E$83</definedName>
    <definedName name="QB_ROW_195340" localSheetId="0" hidden="1">'BS24'!$E$85</definedName>
    <definedName name="QB_ROW_195340" localSheetId="3" hidden="1">'BS25'!$E$85</definedName>
    <definedName name="QB_ROW_196210" localSheetId="4" hidden="1">'TB24'!$B$76</definedName>
    <definedName name="QB_ROW_196210" localSheetId="5" hidden="1">'TB25'!$B$76</definedName>
    <definedName name="QB_ROW_197210" localSheetId="4" hidden="1">'TB24'!$B$212</definedName>
    <definedName name="QB_ROW_197210" localSheetId="5" hidden="1">'TB25'!$B$210</definedName>
    <definedName name="QB_ROW_197250" localSheetId="1" hidden="1">'PL24'!$F$117</definedName>
    <definedName name="QB_ROW_197250" localSheetId="2" hidden="1">'PL25'!$F$116</definedName>
    <definedName name="QB_ROW_198210" localSheetId="4" hidden="1">'TB24'!$B$164</definedName>
    <definedName name="QB_ROW_198210" localSheetId="5" hidden="1">'TB25'!$B$163</definedName>
    <definedName name="QB_ROW_198260" localSheetId="1" hidden="1">'PL24'!$G$43</definedName>
    <definedName name="QB_ROW_198260" localSheetId="2" hidden="1">'PL25'!$G$42</definedName>
    <definedName name="QB_ROW_199210" localSheetId="4" hidden="1">'TB24'!$B$100</definedName>
    <definedName name="QB_ROW_199210" localSheetId="5" hidden="1">'TB25'!$B$101</definedName>
    <definedName name="QB_ROW_20031" localSheetId="1" hidden="1">'PL24'!$D$3</definedName>
    <definedName name="QB_ROW_20031" localSheetId="2" hidden="1">'PL25'!$D$3</definedName>
    <definedName name="QB_ROW_201210" localSheetId="4" hidden="1">'TB24'!$B$240</definedName>
    <definedName name="QB_ROW_201210" localSheetId="5" hidden="1">'TB25'!$B$239</definedName>
    <definedName name="QB_ROW_201250" localSheetId="1" hidden="1">'PL24'!$F$151</definedName>
    <definedName name="QB_ROW_201250" localSheetId="2" hidden="1">'PL25'!$F$152</definedName>
    <definedName name="QB_ROW_2021" localSheetId="0" hidden="1">'BS24'!$C$4</definedName>
    <definedName name="QB_ROW_2021" localSheetId="3" hidden="1">'BS25'!$C$4</definedName>
    <definedName name="QB_ROW_202210" localSheetId="4" hidden="1">'TB24'!$B$213</definedName>
    <definedName name="QB_ROW_202210" localSheetId="5" hidden="1">'TB25'!$B$211</definedName>
    <definedName name="QB_ROW_202250" localSheetId="1" hidden="1">'PL24'!$F$118</definedName>
    <definedName name="QB_ROW_202250" localSheetId="2" hidden="1">'PL25'!$F$117</definedName>
    <definedName name="QB_ROW_203210" localSheetId="4" hidden="1">'TB24'!$B$214</definedName>
    <definedName name="QB_ROW_203210" localSheetId="5" hidden="1">'TB25'!$B$212</definedName>
    <definedName name="QB_ROW_203250" localSheetId="1" hidden="1">'PL24'!$F$119</definedName>
    <definedName name="QB_ROW_203250" localSheetId="2" hidden="1">'PL25'!$F$118</definedName>
    <definedName name="QB_ROW_20331" localSheetId="1" hidden="1">'PL24'!$D$20</definedName>
    <definedName name="QB_ROW_20331" localSheetId="2" hidden="1">'PL25'!$D$22</definedName>
    <definedName name="QB_ROW_204210" localSheetId="4" hidden="1">'TB24'!$B$70</definedName>
    <definedName name="QB_ROW_204210" localSheetId="5" hidden="1">'TB25'!$B$70</definedName>
    <definedName name="QB_ROW_204250" localSheetId="0" hidden="1">'BS24'!$F$73</definedName>
    <definedName name="QB_ROW_204250" localSheetId="3" hidden="1">'BS25'!$F$73</definedName>
    <definedName name="QB_ROW_205210" localSheetId="4" hidden="1">'TB24'!$B$22</definedName>
    <definedName name="QB_ROW_205210" localSheetId="5" hidden="1">'TB25'!$B$22</definedName>
    <definedName name="QB_ROW_206210" localSheetId="4" hidden="1">'TB24'!$B$241</definedName>
    <definedName name="QB_ROW_206210" localSheetId="5" hidden="1">'TB25'!$B$240</definedName>
    <definedName name="QB_ROW_206250" localSheetId="1" hidden="1">'PL24'!$F$152</definedName>
    <definedName name="QB_ROW_206250" localSheetId="2" hidden="1">'PL25'!$F$153</definedName>
    <definedName name="QB_ROW_207210" localSheetId="4" hidden="1">'TB24'!$B$101</definedName>
    <definedName name="QB_ROW_207210" localSheetId="5" hidden="1">'TB25'!$B$102</definedName>
    <definedName name="QB_ROW_207260" localSheetId="0" hidden="1">'BS24'!$G$95</definedName>
    <definedName name="QB_ROW_208210" localSheetId="4" hidden="1">'TB24'!$B$221</definedName>
    <definedName name="QB_ROW_208210" localSheetId="5" hidden="1">'TB25'!$B$219</definedName>
    <definedName name="QB_ROW_208260" localSheetId="1" hidden="1">'PL24'!$G$126</definedName>
    <definedName name="QB_ROW_208260" localSheetId="2" hidden="1">'PL25'!$G$125</definedName>
    <definedName name="QB_ROW_209210" localSheetId="4" hidden="1">'TB24'!$B$34</definedName>
    <definedName name="QB_ROW_209210" localSheetId="5" hidden="1">'TB25'!$B$34</definedName>
    <definedName name="QB_ROW_210210" localSheetId="4" hidden="1">'TB24'!$B$35</definedName>
    <definedName name="QB_ROW_210210" localSheetId="5" hidden="1">'TB25'!$B$35</definedName>
    <definedName name="QB_ROW_210240" localSheetId="0" hidden="1">'BS24'!$E$26</definedName>
    <definedName name="QB_ROW_210240" localSheetId="3" hidden="1">'BS25'!$E$26</definedName>
    <definedName name="QB_ROW_21031" localSheetId="1" hidden="1">'PL24'!$D$55</definedName>
    <definedName name="QB_ROW_21031" localSheetId="2" hidden="1">'PL25'!$D$53</definedName>
    <definedName name="QB_ROW_211210" localSheetId="4" hidden="1">'TB24'!$B$36</definedName>
    <definedName name="QB_ROW_211210" localSheetId="5" hidden="1">'TB25'!$B$36</definedName>
    <definedName name="QB_ROW_212210" localSheetId="4" hidden="1">'TB24'!$B$55</definedName>
    <definedName name="QB_ROW_212210" localSheetId="5" hidden="1">'TB25'!$B$55</definedName>
    <definedName name="QB_ROW_213210" localSheetId="4" hidden="1">'TB24'!$B$56</definedName>
    <definedName name="QB_ROW_213210" localSheetId="5" hidden="1">'TB25'!$B$56</definedName>
    <definedName name="QB_ROW_213230" localSheetId="0" hidden="1">'BS24'!$D$49</definedName>
    <definedName name="QB_ROW_213230" localSheetId="3" hidden="1">'BS25'!$D$49</definedName>
    <definedName name="QB_ROW_21331" localSheetId="1" hidden="1">'PL24'!$D$160</definedName>
    <definedName name="QB_ROW_21331" localSheetId="2" hidden="1">'PL25'!$D$160</definedName>
    <definedName name="QB_ROW_214210" localSheetId="4" hidden="1">'TB24'!$B$57</definedName>
    <definedName name="QB_ROW_214210" localSheetId="5" hidden="1">'TB25'!$B$57</definedName>
    <definedName name="QB_ROW_214230" localSheetId="0" hidden="1">'BS24'!$D$50</definedName>
    <definedName name="QB_ROW_214230" localSheetId="3" hidden="1">'BS25'!$D$50</definedName>
    <definedName name="QB_ROW_215210" localSheetId="4" hidden="1">'TB24'!$B$58</definedName>
    <definedName name="QB_ROW_215210" localSheetId="5" hidden="1">'TB25'!$B$58</definedName>
    <definedName name="QB_ROW_215230" localSheetId="0" hidden="1">'BS24'!$D$51</definedName>
    <definedName name="QB_ROW_215230" localSheetId="3" hidden="1">'BS25'!$D$51</definedName>
    <definedName name="QB_ROW_216210" localSheetId="4" hidden="1">'TB24'!$B$59</definedName>
    <definedName name="QB_ROW_216210" localSheetId="5" hidden="1">'TB25'!$B$59</definedName>
    <definedName name="QB_ROW_217210" localSheetId="4" hidden="1">'TB24'!$B$60</definedName>
    <definedName name="QB_ROW_217210" localSheetId="5" hidden="1">'TB25'!$B$60</definedName>
    <definedName name="QB_ROW_217230" localSheetId="0" hidden="1">'BS24'!$D$52</definedName>
    <definedName name="QB_ROW_217230" localSheetId="3" hidden="1">'BS25'!$D$52</definedName>
    <definedName name="QB_ROW_218210" localSheetId="4" hidden="1">'TB24'!$B$61</definedName>
    <definedName name="QB_ROW_218210" localSheetId="5" hidden="1">'TB25'!$B$61</definedName>
    <definedName name="QB_ROW_219210" localSheetId="4" hidden="1">'TB24'!$B$49</definedName>
    <definedName name="QB_ROW_219210" localSheetId="5" hidden="1">'TB25'!$B$49</definedName>
    <definedName name="QB_ROW_22011" localSheetId="1" hidden="1">'PL24'!$B$162</definedName>
    <definedName name="QB_ROW_22011" localSheetId="2" hidden="1">'PL25'!$B$162</definedName>
    <definedName name="QB_ROW_220210" localSheetId="4" hidden="1">'TB24'!$B$50</definedName>
    <definedName name="QB_ROW_220210" localSheetId="5" hidden="1">'TB25'!$B$50</definedName>
    <definedName name="QB_ROW_221210" localSheetId="4" hidden="1">'TB24'!$B$25</definedName>
    <definedName name="QB_ROW_221210" localSheetId="5" hidden="1">'TB25'!$B$25</definedName>
    <definedName name="QB_ROW_221240" localSheetId="3" hidden="1">'BS25'!$E$24</definedName>
    <definedName name="QB_ROW_222210" localSheetId="4" hidden="1">'TB24'!$B$64</definedName>
    <definedName name="QB_ROW_222210" localSheetId="5" hidden="1">'TB25'!$B$64</definedName>
    <definedName name="QB_ROW_222220" localSheetId="0" hidden="1">'BS24'!$C$56</definedName>
    <definedName name="QB_ROW_222220" localSheetId="3" hidden="1">'BS25'!$C$56</definedName>
    <definedName name="QB_ROW_22311" localSheetId="1" hidden="1">'PL24'!$B$174</definedName>
    <definedName name="QB_ROW_22311" localSheetId="2" hidden="1">'PL25'!$B$174</definedName>
    <definedName name="QB_ROW_223210" localSheetId="4" hidden="1">'TB24'!$B$26</definedName>
    <definedName name="QB_ROW_223210" localSheetId="5" hidden="1">'TB25'!$B$26</definedName>
    <definedName name="QB_ROW_224210" localSheetId="4" hidden="1">'TB24'!$B$27</definedName>
    <definedName name="QB_ROW_224210" localSheetId="5" hidden="1">'TB25'!$B$27</definedName>
    <definedName name="QB_ROW_225210" localSheetId="4" hidden="1">'TB24'!$B$28</definedName>
    <definedName name="QB_ROW_225210" localSheetId="5" hidden="1">'TB25'!$B$28</definedName>
    <definedName name="QB_ROW_226210" localSheetId="4" hidden="1">'TB24'!$B$29</definedName>
    <definedName name="QB_ROW_226210" localSheetId="5" hidden="1">'TB25'!$B$29</definedName>
    <definedName name="QB_ROW_227210" localSheetId="4" hidden="1">'TB24'!$B$30</definedName>
    <definedName name="QB_ROW_227210" localSheetId="5" hidden="1">'TB25'!$B$30</definedName>
    <definedName name="QB_ROW_228210" localSheetId="4" hidden="1">'TB24'!$B$81</definedName>
    <definedName name="QB_ROW_228210" localSheetId="5" hidden="1">'TB25'!$B$81</definedName>
    <definedName name="QB_ROW_228250" localSheetId="3" hidden="1">'BS25'!$F$88</definedName>
    <definedName name="QB_ROW_229210" localSheetId="4" hidden="1">'TB24'!$B$82</definedName>
    <definedName name="QB_ROW_229210" localSheetId="5" hidden="1">'TB25'!$B$82</definedName>
    <definedName name="QB_ROW_23021" localSheetId="1" hidden="1">'PL24'!$C$163</definedName>
    <definedName name="QB_ROW_23021" localSheetId="2" hidden="1">'PL25'!$C$163</definedName>
    <definedName name="QB_ROW_230210" localSheetId="4" hidden="1">'TB24'!$B$83</definedName>
    <definedName name="QB_ROW_230210" localSheetId="5" hidden="1">'TB25'!$B$83</definedName>
    <definedName name="QB_ROW_231210" localSheetId="4" hidden="1">'TB24'!$B$84</definedName>
    <definedName name="QB_ROW_231210" localSheetId="5" hidden="1">'TB25'!$B$84</definedName>
    <definedName name="QB_ROW_2321" localSheetId="0" hidden="1">'BS24'!$C$16</definedName>
    <definedName name="QB_ROW_2321" localSheetId="3" hidden="1">'BS25'!$C$16</definedName>
    <definedName name="QB_ROW_232210" localSheetId="4" hidden="1">'TB24'!$B$85</definedName>
    <definedName name="QB_ROW_232210" localSheetId="5" hidden="1">'TB25'!$B$85</definedName>
    <definedName name="QB_ROW_23321" localSheetId="1" hidden="1">'PL24'!$C$169</definedName>
    <definedName name="QB_ROW_23321" localSheetId="2" hidden="1">'PL25'!$C$168</definedName>
    <definedName name="QB_ROW_233210" localSheetId="4" hidden="1">'TB24'!$B$86</definedName>
    <definedName name="QB_ROW_233210" localSheetId="5" hidden="1">'TB25'!$B$86</definedName>
    <definedName name="QB_ROW_233250" localSheetId="0" hidden="1">'BS24'!$F$88</definedName>
    <definedName name="QB_ROW_233250" localSheetId="3" hidden="1">'BS25'!$F$89</definedName>
    <definedName name="QB_ROW_234210" localSheetId="4" hidden="1">'TB24'!$B$87</definedName>
    <definedName name="QB_ROW_234210" localSheetId="5" hidden="1">'TB25'!$B$87</definedName>
    <definedName name="QB_ROW_234250" localSheetId="3" hidden="1">'BS25'!$F$90</definedName>
    <definedName name="QB_ROW_235210" localSheetId="4" hidden="1">'TB24'!$B$95</definedName>
    <definedName name="QB_ROW_235210" localSheetId="5" hidden="1">'TB25'!$B$96</definedName>
    <definedName name="QB_ROW_236210" localSheetId="4" hidden="1">'TB24'!$B$92</definedName>
    <definedName name="QB_ROW_236210" localSheetId="5" hidden="1">'TB25'!$B$93</definedName>
    <definedName name="QB_ROW_237210" localSheetId="4" hidden="1">'TB24'!$B$94</definedName>
    <definedName name="QB_ROW_237210" localSheetId="5" hidden="1">'TB25'!$B$95</definedName>
    <definedName name="QB_ROW_238210" localSheetId="4" hidden="1">'TB24'!$B$93</definedName>
    <definedName name="QB_ROW_238210" localSheetId="5" hidden="1">'TB25'!$B$94</definedName>
    <definedName name="QB_ROW_239210" localSheetId="4" hidden="1">'TB24'!$B$124</definedName>
    <definedName name="QB_ROW_239210" localSheetId="5" hidden="1">'TB25'!$B$125</definedName>
    <definedName name="QB_ROW_24021" localSheetId="1" hidden="1">'PL24'!$C$170</definedName>
    <definedName name="QB_ROW_24021" localSheetId="2" hidden="1">'PL25'!$C$169</definedName>
    <definedName name="QB_ROW_240210" localSheetId="4" hidden="1">'TB24'!$B$121</definedName>
    <definedName name="QB_ROW_240210" localSheetId="5" hidden="1">'TB25'!$B$122</definedName>
    <definedName name="QB_ROW_241210" localSheetId="4" hidden="1">'TB24'!$B$110</definedName>
    <definedName name="QB_ROW_241210" localSheetId="5" hidden="1">'TB25'!$B$111</definedName>
    <definedName name="QB_ROW_242210" localSheetId="4" hidden="1">'TB24'!$B$111</definedName>
    <definedName name="QB_ROW_242210" localSheetId="5" hidden="1">'TB25'!$B$112</definedName>
    <definedName name="QB_ROW_24321" localSheetId="1" hidden="1">'PL24'!$C$173</definedName>
    <definedName name="QB_ROW_24321" localSheetId="2" hidden="1">'PL25'!$C$173</definedName>
    <definedName name="QB_ROW_243210" localSheetId="4" hidden="1">'TB24'!$B$112</definedName>
    <definedName name="QB_ROW_243210" localSheetId="5" hidden="1">'TB25'!$B$113</definedName>
    <definedName name="QB_ROW_245210" localSheetId="4" hidden="1">'TB24'!$B$104</definedName>
    <definedName name="QB_ROW_245210" localSheetId="5" hidden="1">'TB25'!$B$105</definedName>
    <definedName name="QB_ROW_246210" localSheetId="4" hidden="1">'TB24'!$B$96</definedName>
    <definedName name="QB_ROW_246210" localSheetId="5" hidden="1">'TB25'!$B$97</definedName>
    <definedName name="QB_ROW_247210" localSheetId="4" hidden="1">'TB24'!$B$98</definedName>
    <definedName name="QB_ROW_247210" localSheetId="5" hidden="1">'TB25'!$B$99</definedName>
    <definedName name="QB_ROW_248210" localSheetId="4" hidden="1">'TB24'!$B$130</definedName>
    <definedName name="QB_ROW_248210" localSheetId="5" hidden="1">'TB25'!$B$131</definedName>
    <definedName name="QB_ROW_248230" localSheetId="0" hidden="1">'BS24'!$D$116</definedName>
    <definedName name="QB_ROW_248230" localSheetId="3" hidden="1">'BS25'!$D$118</definedName>
    <definedName name="QB_ROW_249210" localSheetId="4" hidden="1">'TB24'!$B$127</definedName>
    <definedName name="QB_ROW_249210" localSheetId="5" hidden="1">'TB25'!$B$128</definedName>
    <definedName name="QB_ROW_249230" localSheetId="0" hidden="1">'BS24'!$D$113</definedName>
    <definedName name="QB_ROW_249230" localSheetId="3" hidden="1">'BS25'!$D$115</definedName>
    <definedName name="QB_ROW_250210" localSheetId="4" hidden="1">'TB24'!$B$128</definedName>
    <definedName name="QB_ROW_250210" localSheetId="5" hidden="1">'TB25'!$B$129</definedName>
    <definedName name="QB_ROW_250230" localSheetId="0" hidden="1">'BS24'!$D$114</definedName>
    <definedName name="QB_ROW_250230" localSheetId="3" hidden="1">'BS25'!$D$116</definedName>
    <definedName name="QB_ROW_251210" localSheetId="4" hidden="1">'TB24'!$B$113</definedName>
    <definedName name="QB_ROW_251210" localSheetId="5" hidden="1">'TB25'!$B$114</definedName>
    <definedName name="QB_ROW_252210" localSheetId="4" hidden="1">'TB24'!$B$114</definedName>
    <definedName name="QB_ROW_252210" localSheetId="5" hidden="1">'TB25'!$B$115</definedName>
    <definedName name="QB_ROW_25301" localSheetId="4" hidden="1">'TB24'!$A$251</definedName>
    <definedName name="QB_ROW_25301" localSheetId="5" hidden="1">'TB25'!$A$248</definedName>
    <definedName name="QB_ROW_253210" localSheetId="4" hidden="1">'TB24'!$B$115</definedName>
    <definedName name="QB_ROW_253210" localSheetId="5" hidden="1">'TB25'!$B$116</definedName>
    <definedName name="QB_ROW_254210" localSheetId="4" hidden="1">'TB24'!$B$105</definedName>
    <definedName name="QB_ROW_254210" localSheetId="5" hidden="1">'TB25'!$B$106</definedName>
    <definedName name="QB_ROW_255210" localSheetId="4" hidden="1">'TB24'!$B$103</definedName>
    <definedName name="QB_ROW_255210" localSheetId="5" hidden="1">'TB25'!$B$104</definedName>
    <definedName name="QB_ROW_255250" localSheetId="0" hidden="1">'BS24'!$F$98</definedName>
    <definedName name="QB_ROW_255250" localSheetId="3" hidden="1">'BS25'!$F$100</definedName>
    <definedName name="QB_ROW_256210" localSheetId="4" hidden="1">'TB24'!$B$102</definedName>
    <definedName name="QB_ROW_256210" localSheetId="5" hidden="1">'TB25'!$B$103</definedName>
    <definedName name="QB_ROW_257210" localSheetId="4" hidden="1">'TB24'!$B$97</definedName>
    <definedName name="QB_ROW_257210" localSheetId="5" hidden="1">'TB25'!$B$98</definedName>
    <definedName name="QB_ROW_258060" localSheetId="1" hidden="1">'PL24'!$G$100</definedName>
    <definedName name="QB_ROW_258060" localSheetId="2" hidden="1">'PL25'!$G$98</definedName>
    <definedName name="QB_ROW_258360" localSheetId="1" hidden="1">'PL24'!$G$103</definedName>
    <definedName name="QB_ROW_258360" localSheetId="2" hidden="1">'PL25'!$G$101</definedName>
    <definedName name="QB_ROW_259210" localSheetId="4" hidden="1">'TB24'!$B$204</definedName>
    <definedName name="QB_ROW_259210" localSheetId="5" hidden="1">'TB25'!$B$201</definedName>
    <definedName name="QB_ROW_259270" localSheetId="1" hidden="1">'PL24'!$H$102</definedName>
    <definedName name="QB_ROW_259270" localSheetId="2" hidden="1">'PL25'!$H$100</definedName>
    <definedName name="QB_ROW_261210" localSheetId="4" hidden="1">'TB24'!$B$224</definedName>
    <definedName name="QB_ROW_261250" localSheetId="1" hidden="1">'PL24'!$F$131</definedName>
    <definedName name="QB_ROW_26210" localSheetId="4" hidden="1">'TB24'!$B$126</definedName>
    <definedName name="QB_ROW_26210" localSheetId="5" hidden="1">'TB25'!$B$127</definedName>
    <definedName name="QB_ROW_263210" localSheetId="4" hidden="1">'TB24'!$B$116</definedName>
    <definedName name="QB_ROW_263210" localSheetId="5" hidden="1">'TB25'!$B$117</definedName>
    <definedName name="QB_ROW_263250" localSheetId="0" hidden="1">'BS24'!$F$105</definedName>
    <definedName name="QB_ROW_263250" localSheetId="3" hidden="1">'BS25'!$F$107</definedName>
    <definedName name="QB_ROW_267040" localSheetId="3" hidden="1">'BS25'!$E$94</definedName>
    <definedName name="QB_ROW_267210" localSheetId="4" hidden="1">'TB24'!$B$91</definedName>
    <definedName name="QB_ROW_267210" localSheetId="5" hidden="1">'TB25'!$B$91</definedName>
    <definedName name="QB_ROW_267250" localSheetId="3" hidden="1">'BS25'!$F$96</definedName>
    <definedName name="QB_ROW_267340" localSheetId="0" hidden="1">'BS24'!$E$92</definedName>
    <definedName name="QB_ROW_267340" localSheetId="3" hidden="1">'BS25'!$E$97</definedName>
    <definedName name="QB_ROW_268040" localSheetId="0" hidden="1">'BS24'!$E$93</definedName>
    <definedName name="QB_ROW_268040" localSheetId="3" hidden="1">'BS25'!$E$98</definedName>
    <definedName name="QB_ROW_268340" localSheetId="0" hidden="1">'BS24'!$E$99</definedName>
    <definedName name="QB_ROW_268340" localSheetId="3" hidden="1">'BS25'!$E$101</definedName>
    <definedName name="QB_ROW_270050" localSheetId="1" hidden="1">'PL24'!$F$45</definedName>
    <definedName name="QB_ROW_270050" localSheetId="2" hidden="1">'PL25'!$F$45</definedName>
    <definedName name="QB_ROW_270210" localSheetId="4" hidden="1">'TB24'!$B$165</definedName>
    <definedName name="QB_ROW_270210" localSheetId="5" hidden="1">'TB25'!$B$164</definedName>
    <definedName name="QB_ROW_270260" localSheetId="1" hidden="1">'PL24'!$G$50</definedName>
    <definedName name="QB_ROW_270260" localSheetId="2" hidden="1">'PL25'!$G$48</definedName>
    <definedName name="QB_ROW_270350" localSheetId="1" hidden="1">'PL24'!$F$51</definedName>
    <definedName name="QB_ROW_270350" localSheetId="2" hidden="1">'PL25'!$F$49</definedName>
    <definedName name="QB_ROW_271210" localSheetId="4" hidden="1">'TB24'!$B$159</definedName>
    <definedName name="QB_ROW_271260" localSheetId="1" hidden="1">'PL24'!$G$38</definedName>
    <definedName name="QB_ROW_273030" localSheetId="0" hidden="1">'BS24'!$D$24</definedName>
    <definedName name="QB_ROW_273030" localSheetId="3" hidden="1">'BS25'!$D$23</definedName>
    <definedName name="QB_ROW_273210" localSheetId="4" hidden="1">'TB24'!$B$24</definedName>
    <definedName name="QB_ROW_273210" localSheetId="5" hidden="1">'TB25'!$B$24</definedName>
    <definedName name="QB_ROW_273330" localSheetId="0" hidden="1">'BS24'!$D$29</definedName>
    <definedName name="QB_ROW_273330" localSheetId="3" hidden="1">'BS25'!$D$29</definedName>
    <definedName name="QB_ROW_275210" localSheetId="4" hidden="1">'TB24'!$B$88</definedName>
    <definedName name="QB_ROW_275210" localSheetId="5" hidden="1">'TB25'!$B$88</definedName>
    <definedName name="QB_ROW_276210" localSheetId="4" hidden="1">'TB24'!$B$90</definedName>
    <definedName name="QB_ROW_276210" localSheetId="5" hidden="1">'TB25'!$B$90</definedName>
    <definedName name="QB_ROW_277210" localSheetId="4" hidden="1">'TB24'!$B$19</definedName>
    <definedName name="QB_ROW_277210" localSheetId="5" hidden="1">'TB25'!$B$19</definedName>
    <definedName name="QB_ROW_278210" localSheetId="4" hidden="1">'TB24'!$B$10</definedName>
    <definedName name="QB_ROW_278210" localSheetId="5" hidden="1">'TB25'!$B$10</definedName>
    <definedName name="QB_ROW_278240" localSheetId="0" hidden="1">'BS24'!$E$8</definedName>
    <definedName name="QB_ROW_278240" localSheetId="3" hidden="1">'BS25'!$E$8</definedName>
    <definedName name="QB_ROW_280210" localSheetId="4" hidden="1">'TB24'!$B$71</definedName>
    <definedName name="QB_ROW_280210" localSheetId="5" hidden="1">'TB25'!$B$71</definedName>
    <definedName name="QB_ROW_280250" localSheetId="0" hidden="1">'BS24'!$F$74</definedName>
    <definedName name="QB_ROW_280250" localSheetId="3" hidden="1">'BS25'!$F$74</definedName>
    <definedName name="QB_ROW_281210" localSheetId="4" hidden="1">'TB24'!$B$72</definedName>
    <definedName name="QB_ROW_281210" localSheetId="5" hidden="1">'TB25'!$B$72</definedName>
    <definedName name="QB_ROW_281250" localSheetId="0" hidden="1">'BS24'!$F$75</definedName>
    <definedName name="QB_ROW_281250" localSheetId="3" hidden="1">'BS25'!$F$75</definedName>
    <definedName name="QB_ROW_28210" localSheetId="4" hidden="1">'TB24'!$B$134</definedName>
    <definedName name="QB_ROW_28210" localSheetId="5" hidden="1">'TB25'!$B$135</definedName>
    <definedName name="QB_ROW_28220" localSheetId="0" hidden="1">'BS24'!$C$119</definedName>
    <definedName name="QB_ROW_28220" localSheetId="3" hidden="1">'BS25'!$C$121</definedName>
    <definedName name="QB_ROW_282210" localSheetId="4" hidden="1">'TB24'!$B$11</definedName>
    <definedName name="QB_ROW_282210" localSheetId="5" hidden="1">'TB25'!$B$11</definedName>
    <definedName name="QB_ROW_282240" localSheetId="0" hidden="1">'BS24'!$E$9</definedName>
    <definedName name="QB_ROW_282240" localSheetId="3" hidden="1">'BS25'!$E$9</definedName>
    <definedName name="QB_ROW_285210" localSheetId="4" hidden="1">'TB24'!$B$12</definedName>
    <definedName name="QB_ROW_285210" localSheetId="5" hidden="1">'TB25'!$B$12</definedName>
    <definedName name="QB_ROW_285240" localSheetId="0" hidden="1">'BS24'!$E$10</definedName>
    <definedName name="QB_ROW_285240" localSheetId="3" hidden="1">'BS25'!$E$10</definedName>
    <definedName name="QB_ROW_286210" localSheetId="4" hidden="1">'TB24'!$B$13</definedName>
    <definedName name="QB_ROW_286210" localSheetId="5" hidden="1">'TB25'!$B$13</definedName>
    <definedName name="QB_ROW_286240" localSheetId="0" hidden="1">'BS24'!$E$11</definedName>
    <definedName name="QB_ROW_286240" localSheetId="3" hidden="1">'BS25'!$E$11</definedName>
    <definedName name="QB_ROW_288210" localSheetId="5" hidden="1">'TB25'!$B$247</definedName>
    <definedName name="QB_ROW_288230" localSheetId="2" hidden="1">'PL25'!$D$172</definedName>
    <definedName name="QB_ROW_289210" localSheetId="4" hidden="1">'TB24'!$B$117</definedName>
    <definedName name="QB_ROW_289210" localSheetId="5" hidden="1">'TB25'!$B$118</definedName>
    <definedName name="QB_ROW_290210" localSheetId="4" hidden="1">'TB24'!$B$245</definedName>
    <definedName name="QB_ROW_290240" localSheetId="1" hidden="1">'PL24'!$E$159</definedName>
    <definedName name="QB_ROW_29050" localSheetId="1" hidden="1">'PL24'!$F$96</definedName>
    <definedName name="QB_ROW_29050" localSheetId="2" hidden="1">'PL25'!$F$94</definedName>
    <definedName name="QB_ROW_291210" localSheetId="4" hidden="1">'TB24'!$B$201</definedName>
    <definedName name="QB_ROW_291210" localSheetId="5" hidden="1">'TB25'!$B$198</definedName>
    <definedName name="QB_ROW_291260" localSheetId="1" hidden="1">'PL24'!$G$98</definedName>
    <definedName name="QB_ROW_291260" localSheetId="2" hidden="1">'PL25'!$G$96</definedName>
    <definedName name="QB_ROW_29210" localSheetId="4" hidden="1">'TB24'!$B$199</definedName>
    <definedName name="QB_ROW_29210" localSheetId="5" hidden="1">'TB25'!$B$196</definedName>
    <definedName name="QB_ROW_292210" localSheetId="4" hidden="1">'TB24'!$B$89</definedName>
    <definedName name="QB_ROW_292210" localSheetId="5" hidden="1">'TB25'!$B$89</definedName>
    <definedName name="QB_ROW_292250" localSheetId="0" hidden="1">'BS24'!$F$89</definedName>
    <definedName name="QB_ROW_292250" localSheetId="3" hidden="1">'BS25'!$F$91</definedName>
    <definedName name="QB_ROW_29260" localSheetId="1" hidden="1">'PL24'!$G$104</definedName>
    <definedName name="QB_ROW_29260" localSheetId="2" hidden="1">'PL25'!$G$102</definedName>
    <definedName name="QB_ROW_293210" localSheetId="4" hidden="1">'TB24'!$B$203</definedName>
    <definedName name="QB_ROW_293210" localSheetId="5" hidden="1">'TB25'!$B$200</definedName>
    <definedName name="QB_ROW_293270" localSheetId="1" hidden="1">'PL24'!$H$101</definedName>
    <definedName name="QB_ROW_293270" localSheetId="2" hidden="1">'PL25'!$H$99</definedName>
    <definedName name="QB_ROW_29350" localSheetId="1" hidden="1">'PL24'!$F$105</definedName>
    <definedName name="QB_ROW_29350" localSheetId="2" hidden="1">'PL25'!$F$103</definedName>
    <definedName name="QB_ROW_294210" localSheetId="4" hidden="1">'TB24'!$B$202</definedName>
    <definedName name="QB_ROW_294210" localSheetId="5" hidden="1">'TB25'!$B$199</definedName>
    <definedName name="QB_ROW_294260" localSheetId="1" hidden="1">'PL24'!$G$99</definedName>
    <definedName name="QB_ROW_294260" localSheetId="2" hidden="1">'PL25'!$G$97</definedName>
    <definedName name="QB_ROW_295210" localSheetId="4" hidden="1">'TB24'!$B$73</definedName>
    <definedName name="QB_ROW_295210" localSheetId="5" hidden="1">'TB25'!$B$73</definedName>
    <definedName name="QB_ROW_295250" localSheetId="0" hidden="1">'BS24'!$F$76</definedName>
    <definedName name="QB_ROW_295250" localSheetId="3" hidden="1">'BS25'!$F$76</definedName>
    <definedName name="QB_ROW_296050" localSheetId="1" hidden="1">'PL24'!$F$120</definedName>
    <definedName name="QB_ROW_296050" localSheetId="2" hidden="1">'PL25'!$F$119</definedName>
    <definedName name="QB_ROW_296210" localSheetId="4" hidden="1">'TB24'!$B$215</definedName>
    <definedName name="QB_ROW_296210" localSheetId="5" hidden="1">'TB25'!$B$213</definedName>
    <definedName name="QB_ROW_296260" localSheetId="1" hidden="1">'PL24'!$G$128</definedName>
    <definedName name="QB_ROW_296260" localSheetId="2" hidden="1">'PL25'!$G$127</definedName>
    <definedName name="QB_ROW_296350" localSheetId="1" hidden="1">'PL24'!$F$129</definedName>
    <definedName name="QB_ROW_296350" localSheetId="2" hidden="1">'PL25'!$F$128</definedName>
    <definedName name="QB_ROW_297210" localSheetId="5" hidden="1">'TB25'!$B$237</definedName>
    <definedName name="QB_ROW_297260" localSheetId="2" hidden="1">'PL25'!$G$149</definedName>
    <definedName name="QB_ROW_300210" localSheetId="4" hidden="1">'TB24'!$B$242</definedName>
    <definedName name="QB_ROW_300210" localSheetId="5" hidden="1">'TB25'!$B$241</definedName>
    <definedName name="QB_ROW_300250" localSheetId="1" hidden="1">'PL24'!$F$153</definedName>
    <definedName name="QB_ROW_300250" localSheetId="2" hidden="1">'PL25'!$F$154</definedName>
    <definedName name="QB_ROW_30040" localSheetId="0" hidden="1">'BS24'!$E$87</definedName>
    <definedName name="QB_ROW_30040" localSheetId="3" hidden="1">'BS25'!$E$87</definedName>
    <definedName name="QB_ROW_301" localSheetId="0" hidden="1">'BS24'!$A$61</definedName>
    <definedName name="QB_ROW_301" localSheetId="3" hidden="1">'BS25'!$A$61</definedName>
    <definedName name="QB_ROW_3021" localSheetId="0" hidden="1">'BS24'!$C$17</definedName>
    <definedName name="QB_ROW_3021" localSheetId="3" hidden="1">'BS25'!$C$17</definedName>
    <definedName name="QB_ROW_30210" localSheetId="4" hidden="1">'TB24'!$B$80</definedName>
    <definedName name="QB_ROW_30210" localSheetId="5" hidden="1">'TB25'!$B$80</definedName>
    <definedName name="QB_ROW_30250" localSheetId="0" hidden="1">'BS24'!$F$90</definedName>
    <definedName name="QB_ROW_30250" localSheetId="3" hidden="1">'BS25'!$F$92</definedName>
    <definedName name="QB_ROW_303210" localSheetId="4" hidden="1">'TB24'!$B$38</definedName>
    <definedName name="QB_ROW_303210" localSheetId="5" hidden="1">'TB25'!$B$38</definedName>
    <definedName name="QB_ROW_303240" localSheetId="0" hidden="1">'BS24'!$E$28</definedName>
    <definedName name="QB_ROW_303240" localSheetId="3" hidden="1">'BS25'!$E$28</definedName>
    <definedName name="QB_ROW_30340" localSheetId="0" hidden="1">'BS24'!$E$91</definedName>
    <definedName name="QB_ROW_30340" localSheetId="3" hidden="1">'BS25'!$E$93</definedName>
    <definedName name="QB_ROW_305210" localSheetId="4" hidden="1">'TB24'!$B$132</definedName>
    <definedName name="QB_ROW_305210" localSheetId="5" hidden="1">'TB25'!$B$133</definedName>
    <definedName name="QB_ROW_306210" localSheetId="4" hidden="1">'TB24'!$B$79</definedName>
    <definedName name="QB_ROW_306210" localSheetId="5" hidden="1">'TB25'!$B$79</definedName>
    <definedName name="QB_ROW_306240" localSheetId="0" hidden="1">'BS24'!$E$86</definedName>
    <definedName name="QB_ROW_306240" localSheetId="3" hidden="1">'BS25'!$E$86</definedName>
    <definedName name="QB_ROW_307210" localSheetId="4" hidden="1">'TB24'!$B$14</definedName>
    <definedName name="QB_ROW_307210" localSheetId="5" hidden="1">'TB25'!$B$14</definedName>
    <definedName name="QB_ROW_308210" localSheetId="4" hidden="1">'TB24'!$B$77</definedName>
    <definedName name="QB_ROW_308210" localSheetId="5" hidden="1">'TB25'!$B$77</definedName>
    <definedName name="QB_ROW_309210" localSheetId="4" hidden="1">'TB24'!$B$118</definedName>
    <definedName name="QB_ROW_309210" localSheetId="5" hidden="1">'TB25'!$B$119</definedName>
    <definedName name="QB_ROW_310210" localSheetId="4" hidden="1">'TB24'!$B$65</definedName>
    <definedName name="QB_ROW_310210" localSheetId="5" hidden="1">'TB25'!$B$65</definedName>
    <definedName name="QB_ROW_310220" localSheetId="0" hidden="1">'BS24'!$C$59</definedName>
    <definedName name="QB_ROW_310220" localSheetId="3" hidden="1">'BS25'!$C$59</definedName>
    <definedName name="QB_ROW_31030" localSheetId="0" hidden="1">'BS24'!$D$5</definedName>
    <definedName name="QB_ROW_31030" localSheetId="3" hidden="1">'BS25'!$D$5</definedName>
    <definedName name="QB_ROW_311210" localSheetId="4" hidden="1">'TB24'!$B$222</definedName>
    <definedName name="QB_ROW_311210" localSheetId="5" hidden="1">'TB25'!$B$220</definedName>
    <definedName name="QB_ROW_311260" localSheetId="1" hidden="1">'PL24'!$G$127</definedName>
    <definedName name="QB_ROW_311260" localSheetId="2" hidden="1">'PL25'!$G$126</definedName>
    <definedName name="QB_ROW_31210" localSheetId="4" hidden="1">'TB24'!$B$3</definedName>
    <definedName name="QB_ROW_31210" localSheetId="5" hidden="1">'TB25'!$B$3</definedName>
    <definedName name="QB_ROW_312210" localSheetId="4" hidden="1">'TB24'!$B$119</definedName>
    <definedName name="QB_ROW_312210" localSheetId="5" hidden="1">'TB25'!$B$120</definedName>
    <definedName name="QB_ROW_313210" localSheetId="4" hidden="1">'TB24'!$B$183</definedName>
    <definedName name="QB_ROW_313210" localSheetId="5" hidden="1">'TB25'!$B$181</definedName>
    <definedName name="QB_ROW_313260" localSheetId="1" hidden="1">'PL24'!$G$72</definedName>
    <definedName name="QB_ROW_313260" localSheetId="2" hidden="1">'PL25'!$G$70</definedName>
    <definedName name="QB_ROW_31330" localSheetId="0" hidden="1">'BS24'!$D$15</definedName>
    <definedName name="QB_ROW_31330" localSheetId="3" hidden="1">'BS25'!$D$15</definedName>
    <definedName name="QB_ROW_314210" localSheetId="4" hidden="1">'TB24'!$B$120</definedName>
    <definedName name="QB_ROW_314210" localSheetId="5" hidden="1">'TB25'!$B$121</definedName>
    <definedName name="QB_ROW_314250" localSheetId="0" hidden="1">'BS24'!$F$106</definedName>
    <definedName name="QB_ROW_314250" localSheetId="3" hidden="1">'BS25'!$F$108</definedName>
    <definedName name="QB_ROW_317210" localSheetId="4" hidden="1">'TB24'!$B$62</definedName>
    <definedName name="QB_ROW_317210" localSheetId="5" hidden="1">'TB25'!$B$62</definedName>
    <definedName name="QB_ROW_317230" localSheetId="0" hidden="1">'BS24'!$D$53</definedName>
    <definedName name="QB_ROW_317230" localSheetId="3" hidden="1">'BS25'!$D$53</definedName>
    <definedName name="QB_ROW_318210" localSheetId="4" hidden="1">'TB24'!$B$15</definedName>
    <definedName name="QB_ROW_318210" localSheetId="5" hidden="1">'TB25'!$B$15</definedName>
    <definedName name="QB_ROW_318240" localSheetId="0" hidden="1">'BS24'!$E$12</definedName>
    <definedName name="QB_ROW_318240" localSheetId="3" hidden="1">'BS25'!$E$12</definedName>
    <definedName name="QB_ROW_319210" localSheetId="4" hidden="1">'TB24'!$B$16</definedName>
    <definedName name="QB_ROW_319210" localSheetId="5" hidden="1">'TB25'!$B$16</definedName>
    <definedName name="QB_ROW_319240" localSheetId="0" hidden="1">'BS24'!$E$13</definedName>
    <definedName name="QB_ROW_319240" localSheetId="3" hidden="1">'BS25'!$E$13</definedName>
    <definedName name="QB_ROW_320210" localSheetId="4" hidden="1">'TB24'!$B$17</definedName>
    <definedName name="QB_ROW_320210" localSheetId="5" hidden="1">'TB25'!$B$17</definedName>
    <definedName name="QB_ROW_320240" localSheetId="0" hidden="1">'BS24'!$E$14</definedName>
    <definedName name="QB_ROW_320240" localSheetId="3" hidden="1">'BS25'!$E$14</definedName>
    <definedName name="QB_ROW_3210" localSheetId="4" hidden="1">'TB24'!$B$125</definedName>
    <definedName name="QB_ROW_3210" localSheetId="5" hidden="1">'TB25'!$B$126</definedName>
    <definedName name="QB_ROW_321210" localSheetId="4" hidden="1">'TB24'!$B$18</definedName>
    <definedName name="QB_ROW_321210" localSheetId="5" hidden="1">'TB25'!$B$18</definedName>
    <definedName name="QB_ROW_32210" localSheetId="4" hidden="1">'TB24'!$B$4</definedName>
    <definedName name="QB_ROW_32210" localSheetId="5" hidden="1">'TB25'!$B$4</definedName>
    <definedName name="QB_ROW_322210" localSheetId="4" hidden="1">'TB24'!$B$78</definedName>
    <definedName name="QB_ROW_322210" localSheetId="5" hidden="1">'TB25'!$B$78</definedName>
    <definedName name="QB_ROW_322250" localSheetId="0" hidden="1">'BS24'!$F$84</definedName>
    <definedName name="QB_ROW_322250" localSheetId="3" hidden="1">'BS25'!$F$84</definedName>
    <definedName name="QB_ROW_323210" localSheetId="4" hidden="1">'TB24'!$B$74</definedName>
    <definedName name="QB_ROW_323210" localSheetId="5" hidden="1">'TB25'!$B$74</definedName>
    <definedName name="QB_ROW_323250" localSheetId="0" hidden="1">'BS24'!$F$77</definedName>
    <definedName name="QB_ROW_323250" localSheetId="3" hidden="1">'BS25'!$F$77</definedName>
    <definedName name="QB_ROW_324210" localSheetId="4" hidden="1">'TB24'!$B$146</definedName>
    <definedName name="QB_ROW_324210" localSheetId="5" hidden="1">'TB25'!$B$147</definedName>
    <definedName name="QB_ROW_324260" localSheetId="1" hidden="1">'PL24'!$G$15</definedName>
    <definedName name="QB_ROW_324260" localSheetId="2" hidden="1">'PL25'!$G$18</definedName>
    <definedName name="QB_ROW_325210" localSheetId="4" hidden="1">'TB24'!$B$184</definedName>
    <definedName name="QB_ROW_325210" localSheetId="5" hidden="1">'TB25'!$B$182</definedName>
    <definedName name="QB_ROW_325260" localSheetId="1" hidden="1">'PL24'!$G$73</definedName>
    <definedName name="QB_ROW_325260" localSheetId="2" hidden="1">'PL25'!$G$71</definedName>
    <definedName name="QB_ROW_326210" localSheetId="4" hidden="1">'TB24'!$B$244</definedName>
    <definedName name="QB_ROW_326210" localSheetId="5" hidden="1">'TB25'!$B$242</definedName>
    <definedName name="QB_ROW_326250" localSheetId="1" hidden="1">'PL24'!$F$156</definedName>
    <definedName name="QB_ROW_326250" localSheetId="2" hidden="1">'PL25'!$F$158</definedName>
    <definedName name="QB_ROW_327210" localSheetId="4" hidden="1">'TB24'!$B$75</definedName>
    <definedName name="QB_ROW_327210" localSheetId="5" hidden="1">'TB25'!$B$75</definedName>
    <definedName name="QB_ROW_327250" localSheetId="0" hidden="1">'BS24'!$F$78</definedName>
    <definedName name="QB_ROW_327250" localSheetId="3" hidden="1">'BS25'!$F$78</definedName>
    <definedName name="QB_ROW_328210" localSheetId="4" hidden="1">'TB24'!$B$31</definedName>
    <definedName name="QB_ROW_328210" localSheetId="5" hidden="1">'TB25'!$B$31</definedName>
    <definedName name="QB_ROW_328240" localSheetId="0" hidden="1">'BS24'!$E$25</definedName>
    <definedName name="QB_ROW_328240" localSheetId="3" hidden="1">'BS25'!$E$25</definedName>
    <definedName name="QB_ROW_329210" localSheetId="5" hidden="1">'TB25'!$B$92</definedName>
    <definedName name="QB_ROW_329250" localSheetId="3" hidden="1">'BS25'!$F$95</definedName>
    <definedName name="QB_ROW_330210" localSheetId="5" hidden="1">'TB25'!$B$145</definedName>
    <definedName name="QB_ROW_330260" localSheetId="2" hidden="1">'PL25'!$G$14</definedName>
    <definedName name="QB_ROW_331210" localSheetId="5" hidden="1">'TB25'!$B$230</definedName>
    <definedName name="QB_ROW_331260" localSheetId="2" hidden="1">'PL25'!$G$139</definedName>
    <definedName name="QB_ROW_3321" localSheetId="0" hidden="1">'BS24'!$C$21</definedName>
    <definedName name="QB_ROW_3321" localSheetId="3" hidden="1">'BS25'!$C$21</definedName>
    <definedName name="QB_ROW_33210" localSheetId="4" hidden="1">'TB24'!$B$5</definedName>
    <definedName name="QB_ROW_33210" localSheetId="5" hidden="1">'TB25'!$B$5</definedName>
    <definedName name="QB_ROW_33240" localSheetId="0" hidden="1">'BS24'!$E$6</definedName>
    <definedName name="QB_ROW_33240" localSheetId="3" hidden="1">'BS25'!$E$6</definedName>
    <definedName name="QB_ROW_34210" localSheetId="4" hidden="1">'TB24'!$B$6</definedName>
    <definedName name="QB_ROW_34210" localSheetId="5" hidden="1">'TB25'!$B$6</definedName>
    <definedName name="QB_ROW_35210" localSheetId="4" hidden="1">'TB24'!$B$7</definedName>
    <definedName name="QB_ROW_35210" localSheetId="5" hidden="1">'TB25'!$B$7</definedName>
    <definedName name="QB_ROW_37210" localSheetId="4" hidden="1">'TB24'!$B$8</definedName>
    <definedName name="QB_ROW_37210" localSheetId="5" hidden="1">'TB25'!$B$8</definedName>
    <definedName name="QB_ROW_4020" localSheetId="0" hidden="1">'BS24'!$C$44</definedName>
    <definedName name="QB_ROW_4020" localSheetId="3" hidden="1">'BS25'!$C$44</definedName>
    <definedName name="QB_ROW_4021" localSheetId="0" hidden="1">'BS24'!$C$22</definedName>
    <definedName name="QB_ROW_4021" localSheetId="3" hidden="1">'BS25'!$C$22</definedName>
    <definedName name="QB_ROW_4210" localSheetId="4" hidden="1">'TB24'!$B$51</definedName>
    <definedName name="QB_ROW_4210" localSheetId="5" hidden="1">'TB25'!$B$51</definedName>
    <definedName name="QB_ROW_42210" localSheetId="4" hidden="1">'TB24'!$B$9</definedName>
    <definedName name="QB_ROW_42210" localSheetId="5" hidden="1">'TB25'!$B$9</definedName>
    <definedName name="QB_ROW_42240" localSheetId="0" hidden="1">'BS24'!$E$7</definedName>
    <definedName name="QB_ROW_42240" localSheetId="3" hidden="1">'BS25'!$E$7</definedName>
    <definedName name="QB_ROW_4320" localSheetId="0" hidden="1">'BS24'!$C$47</definedName>
    <definedName name="QB_ROW_4320" localSheetId="3" hidden="1">'BS25'!$C$47</definedName>
    <definedName name="QB_ROW_4321" localSheetId="0" hidden="1">'BS24'!$C$41</definedName>
    <definedName name="QB_ROW_4321" localSheetId="3" hidden="1">'BS25'!$C$41</definedName>
    <definedName name="QB_ROW_44030" localSheetId="0" hidden="1">'BS24'!$D$18</definedName>
    <definedName name="QB_ROW_44030" localSheetId="3" hidden="1">'BS25'!$D$18</definedName>
    <definedName name="QB_ROW_44210" localSheetId="4" hidden="1">'TB24'!$B$20</definedName>
    <definedName name="QB_ROW_44210" localSheetId="5" hidden="1">'TB25'!$B$20</definedName>
    <definedName name="QB_ROW_44330" localSheetId="0" hidden="1">'BS24'!$D$20</definedName>
    <definedName name="QB_ROW_44330" localSheetId="3" hidden="1">'BS25'!$D$20</definedName>
    <definedName name="QB_ROW_46210" localSheetId="4" hidden="1">'TB24'!$B$21</definedName>
    <definedName name="QB_ROW_46210" localSheetId="5" hidden="1">'TB25'!$B$21</definedName>
    <definedName name="QB_ROW_46240" localSheetId="0" hidden="1">'BS24'!$E$19</definedName>
    <definedName name="QB_ROW_46240" localSheetId="3" hidden="1">'BS25'!$E$19</definedName>
    <definedName name="QB_ROW_49210" localSheetId="4" hidden="1">'TB24'!$B$32</definedName>
    <definedName name="QB_ROW_49210" localSheetId="5" hidden="1">'TB25'!$B$32</definedName>
    <definedName name="QB_ROW_5011" localSheetId="0" hidden="1">'BS24'!$B$43</definedName>
    <definedName name="QB_ROW_5011" localSheetId="3" hidden="1">'BS25'!$B$43</definedName>
    <definedName name="QB_ROW_50210" localSheetId="4" hidden="1">'TB24'!$B$33</definedName>
    <definedName name="QB_ROW_50210" localSheetId="5" hidden="1">'TB25'!$B$33</definedName>
    <definedName name="QB_ROW_51210" localSheetId="4" hidden="1">'TB24'!$B$39</definedName>
    <definedName name="QB_ROW_51210" localSheetId="5" hidden="1">'TB25'!$B$39</definedName>
    <definedName name="QB_ROW_5210" localSheetId="4" hidden="1">'TB24'!$B$63</definedName>
    <definedName name="QB_ROW_5210" localSheetId="5" hidden="1">'TB25'!$B$63</definedName>
    <definedName name="QB_ROW_5220" localSheetId="0" hidden="1">'BS24'!$C$55</definedName>
    <definedName name="QB_ROW_5220" localSheetId="3" hidden="1">'BS25'!$C$55</definedName>
    <definedName name="QB_ROW_52210" localSheetId="4" hidden="1">'TB24'!$B$52</definedName>
    <definedName name="QB_ROW_52210" localSheetId="5" hidden="1">'TB25'!$B$52</definedName>
    <definedName name="QB_ROW_52230" localSheetId="0" hidden="1">'BS24'!$D$45</definedName>
    <definedName name="QB_ROW_52230" localSheetId="3" hidden="1">'BS25'!$D$45</definedName>
    <definedName name="QB_ROW_5311" localSheetId="0" hidden="1">'BS24'!$B$57</definedName>
    <definedName name="QB_ROW_5311" localSheetId="3" hidden="1">'BS25'!$B$57</definedName>
    <definedName name="QB_ROW_53210" localSheetId="4" hidden="1">'TB24'!$B$53</definedName>
    <definedName name="QB_ROW_53210" localSheetId="5" hidden="1">'TB25'!$B$53</definedName>
    <definedName name="QB_ROW_54210" localSheetId="4" hidden="1">'TB24'!$B$54</definedName>
    <definedName name="QB_ROW_54210" localSheetId="5" hidden="1">'TB25'!$B$54</definedName>
    <definedName name="QB_ROW_54230" localSheetId="0" hidden="1">'BS24'!$D$46</definedName>
    <definedName name="QB_ROW_54230" localSheetId="3" hidden="1">'BS25'!$D$46</definedName>
    <definedName name="QB_ROW_56030" localSheetId="0" hidden="1">'BS24'!$D$30</definedName>
    <definedName name="QB_ROW_56030" localSheetId="3" hidden="1">'BS25'!$D$30</definedName>
    <definedName name="QB_ROW_56210" localSheetId="4" hidden="1">'TB24'!$B$40</definedName>
    <definedName name="QB_ROW_56210" localSheetId="5" hidden="1">'TB25'!$B$40</definedName>
    <definedName name="QB_ROW_56330" localSheetId="0" hidden="1">'BS24'!$D$36</definedName>
    <definedName name="QB_ROW_56330" localSheetId="3" hidden="1">'BS25'!$D$36</definedName>
    <definedName name="QB_ROW_57210" localSheetId="4" hidden="1">'TB24'!$B$41</definedName>
    <definedName name="QB_ROW_57210" localSheetId="5" hidden="1">'TB25'!$B$41</definedName>
    <definedName name="QB_ROW_57240" localSheetId="0" hidden="1">'BS24'!$E$31</definedName>
    <definedName name="QB_ROW_57240" localSheetId="3" hidden="1">'BS25'!$E$31</definedName>
    <definedName name="QB_ROW_58210" localSheetId="4" hidden="1">'TB24'!$B$42</definedName>
    <definedName name="QB_ROW_58210" localSheetId="5" hidden="1">'TB25'!$B$42</definedName>
    <definedName name="QB_ROW_58240" localSheetId="0" hidden="1">'BS24'!$E$32</definedName>
    <definedName name="QB_ROW_58240" localSheetId="3" hidden="1">'BS25'!$E$32</definedName>
    <definedName name="QB_ROW_59210" localSheetId="4" hidden="1">'TB24'!$B$43</definedName>
    <definedName name="QB_ROW_59210" localSheetId="5" hidden="1">'TB25'!$B$43</definedName>
    <definedName name="QB_ROW_6011" localSheetId="0" hidden="1">'BS24'!$B$58</definedName>
    <definedName name="QB_ROW_6011" localSheetId="3" hidden="1">'BS25'!$B$58</definedName>
    <definedName name="QB_ROW_60210" localSheetId="4" hidden="1">'TB24'!$B$44</definedName>
    <definedName name="QB_ROW_60210" localSheetId="5" hidden="1">'TB25'!$B$44</definedName>
    <definedName name="QB_ROW_60240" localSheetId="0" hidden="1">'BS24'!$E$33</definedName>
    <definedName name="QB_ROW_60240" localSheetId="3" hidden="1">'BS25'!$E$33</definedName>
    <definedName name="QB_ROW_6040" localSheetId="1" hidden="1">'PL24'!$E$4</definedName>
    <definedName name="QB_ROW_6040" localSheetId="2" hidden="1">'PL25'!$E$4</definedName>
    <definedName name="QB_ROW_61210" localSheetId="4" hidden="1">'TB24'!$B$45</definedName>
    <definedName name="QB_ROW_61210" localSheetId="5" hidden="1">'TB25'!$B$45</definedName>
    <definedName name="QB_ROW_61240" localSheetId="0" hidden="1">'BS24'!$E$34</definedName>
    <definedName name="QB_ROW_61240" localSheetId="3" hidden="1">'BS25'!$E$34</definedName>
    <definedName name="QB_ROW_6210" localSheetId="4" hidden="1">'TB24'!$B$135</definedName>
    <definedName name="QB_ROW_62210" localSheetId="4" hidden="1">'TB24'!$B$46</definedName>
    <definedName name="QB_ROW_62210" localSheetId="5" hidden="1">'TB25'!$B$46</definedName>
    <definedName name="QB_ROW_62240" localSheetId="0" hidden="1">'BS24'!$E$35</definedName>
    <definedName name="QB_ROW_62240" localSheetId="3" hidden="1">'BS25'!$E$35</definedName>
    <definedName name="QB_ROW_6250" localSheetId="1" hidden="1">'PL24'!$F$18</definedName>
    <definedName name="QB_ROW_63030" localSheetId="0" hidden="1">'BS24'!$D$37</definedName>
    <definedName name="QB_ROW_63030" localSheetId="3" hidden="1">'BS25'!$D$37</definedName>
    <definedName name="QB_ROW_6311" localSheetId="0" hidden="1">'BS24'!$B$60</definedName>
    <definedName name="QB_ROW_6311" localSheetId="3" hidden="1">'BS25'!$B$60</definedName>
    <definedName name="QB_ROW_63330" localSheetId="0" hidden="1">'BS24'!$D$40</definedName>
    <definedName name="QB_ROW_63330" localSheetId="3" hidden="1">'BS25'!$D$40</definedName>
    <definedName name="QB_ROW_6340" localSheetId="1" hidden="1">'PL24'!$E$19</definedName>
    <definedName name="QB_ROW_6340" localSheetId="2" hidden="1">'PL25'!$E$21</definedName>
    <definedName name="QB_ROW_65210" localSheetId="4" hidden="1">'TB24'!$B$37</definedName>
    <definedName name="QB_ROW_65210" localSheetId="5" hidden="1">'TB25'!$B$37</definedName>
    <definedName name="QB_ROW_65240" localSheetId="0" hidden="1">'BS24'!$E$27</definedName>
    <definedName name="QB_ROW_65240" localSheetId="3" hidden="1">'BS25'!$E$27</definedName>
    <definedName name="QB_ROW_66210" localSheetId="4" hidden="1">'TB24'!$B$47</definedName>
    <definedName name="QB_ROW_66210" localSheetId="5" hidden="1">'TB25'!$B$47</definedName>
    <definedName name="QB_ROW_66240" localSheetId="0" hidden="1">'BS24'!$E$38</definedName>
    <definedName name="QB_ROW_66240" localSheetId="3" hidden="1">'BS25'!$E$38</definedName>
    <definedName name="QB_ROW_67210" localSheetId="4" hidden="1">'TB24'!$B$48</definedName>
    <definedName name="QB_ROW_67210" localSheetId="5" hidden="1">'TB25'!$B$48</definedName>
    <definedName name="QB_ROW_67240" localSheetId="0" hidden="1">'BS24'!$E$39</definedName>
    <definedName name="QB_ROW_67240" localSheetId="3" hidden="1">'BS25'!$E$39</definedName>
    <definedName name="QB_ROW_68020" localSheetId="0" hidden="1">'BS24'!$C$48</definedName>
    <definedName name="QB_ROW_68020" localSheetId="3" hidden="1">'BS25'!$C$48</definedName>
    <definedName name="QB_ROW_68320" localSheetId="0" hidden="1">'BS24'!$C$54</definedName>
    <definedName name="QB_ROW_68320" localSheetId="3" hidden="1">'BS25'!$C$54</definedName>
    <definedName name="QB_ROW_69210" localSheetId="4" hidden="1">'TB24'!$B$136</definedName>
    <definedName name="QB_ROW_69210" localSheetId="5" hidden="1">'TB25'!$B$136</definedName>
    <definedName name="QB_ROW_69250" localSheetId="1" hidden="1">'PL24'!$F$5</definedName>
    <definedName name="QB_ROW_69250" localSheetId="2" hidden="1">'PL25'!$F$5</definedName>
    <definedName name="QB_ROW_7001" localSheetId="0" hidden="1">'BS24'!$A$62</definedName>
    <definedName name="QB_ROW_7001" localSheetId="3" hidden="1">'BS25'!$A$62</definedName>
    <definedName name="QB_ROW_70210" localSheetId="4" hidden="1">'TB24'!$B$137</definedName>
    <definedName name="QB_ROW_70210" localSheetId="5" hidden="1">'TB25'!$B$137</definedName>
    <definedName name="QB_ROW_70250" localSheetId="1" hidden="1">'PL24'!$F$6</definedName>
    <definedName name="QB_ROW_70250" localSheetId="2" hidden="1">'PL25'!$F$6</definedName>
    <definedName name="QB_ROW_7040" localSheetId="1" hidden="1">'PL24'!$E$22</definedName>
    <definedName name="QB_ROW_7040" localSheetId="2" hidden="1">'PL25'!$E$24</definedName>
    <definedName name="QB_ROW_71210" localSheetId="4" hidden="1">'TB24'!$B$138</definedName>
    <definedName name="QB_ROW_71210" localSheetId="5" hidden="1">'TB25'!$B$138</definedName>
    <definedName name="QB_ROW_71250" localSheetId="1" hidden="1">'PL24'!$F$7</definedName>
    <definedName name="QB_ROW_71250" localSheetId="2" hidden="1">'PL25'!$F$7</definedName>
    <definedName name="QB_ROW_72210" localSheetId="4" hidden="1">'TB24'!$B$139</definedName>
    <definedName name="QB_ROW_72210" localSheetId="5" hidden="1">'TB25'!$B$139</definedName>
    <definedName name="QB_ROW_72250" localSheetId="1" hidden="1">'PL24'!$F$8</definedName>
    <definedName name="QB_ROW_72250" localSheetId="2" hidden="1">'PL25'!$F$8</definedName>
    <definedName name="QB_ROW_7301" localSheetId="0" hidden="1">'BS24'!$A$122</definedName>
    <definedName name="QB_ROW_7301" localSheetId="3" hidden="1">'BS25'!$A$124</definedName>
    <definedName name="QB_ROW_73210" localSheetId="4" hidden="1">'TB24'!$B$140</definedName>
    <definedName name="QB_ROW_73210" localSheetId="5" hidden="1">'TB25'!$B$140</definedName>
    <definedName name="QB_ROW_73250" localSheetId="1" hidden="1">'PL24'!$F$9</definedName>
    <definedName name="QB_ROW_73250" localSheetId="2" hidden="1">'PL25'!$F$9</definedName>
    <definedName name="QB_ROW_7340" localSheetId="1" hidden="1">'PL24'!$E$52</definedName>
    <definedName name="QB_ROW_7340" localSheetId="2" hidden="1">'PL25'!$E$50</definedName>
    <definedName name="QB_ROW_74210" localSheetId="4" hidden="1">'TB24'!$B$141</definedName>
    <definedName name="QB_ROW_74210" localSheetId="5" hidden="1">'TB25'!$B$141</definedName>
    <definedName name="QB_ROW_74250" localSheetId="1" hidden="1">'PL24'!$F$10</definedName>
    <definedName name="QB_ROW_74250" localSheetId="2" hidden="1">'PL25'!$F$10</definedName>
    <definedName name="QB_ROW_76210" localSheetId="4" hidden="1">'TB24'!$B$142</definedName>
    <definedName name="QB_ROW_76210" localSheetId="5" hidden="1">'TB25'!$B$142</definedName>
    <definedName name="QB_ROW_76250" localSheetId="1" hidden="1">'PL24'!$F$11</definedName>
    <definedName name="QB_ROW_76250" localSheetId="2" hidden="1">'PL25'!$F$11</definedName>
    <definedName name="QB_ROW_78050" localSheetId="2" hidden="1">'PL25'!$F$13</definedName>
    <definedName name="QB_ROW_78210" localSheetId="4" hidden="1">'TB24'!$B$144</definedName>
    <definedName name="QB_ROW_78210" localSheetId="5" hidden="1">'TB25'!$B$144</definedName>
    <definedName name="QB_ROW_78260" localSheetId="2" hidden="1">'PL25'!$G$15</definedName>
    <definedName name="QB_ROW_78350" localSheetId="1" hidden="1">'PL24'!$F$13</definedName>
    <definedName name="QB_ROW_78350" localSheetId="2" hidden="1">'PL25'!$F$16</definedName>
    <definedName name="QB_ROW_79040" localSheetId="0" hidden="1">'BS24'!$E$66</definedName>
    <definedName name="QB_ROW_79040" localSheetId="3" hidden="1">'BS25'!$E$66</definedName>
    <definedName name="QB_ROW_79210" localSheetId="4" hidden="1">'TB24'!$B$66</definedName>
    <definedName name="QB_ROW_79210" localSheetId="5" hidden="1">'TB25'!$B$66</definedName>
    <definedName name="QB_ROW_79340" localSheetId="0" hidden="1">'BS24'!$E$68</definedName>
    <definedName name="QB_ROW_79340" localSheetId="3" hidden="1">'BS25'!$E$68</definedName>
    <definedName name="QB_ROW_8011" localSheetId="0" hidden="1">'BS24'!$B$63</definedName>
    <definedName name="QB_ROW_8011" localSheetId="3" hidden="1">'BS25'!$B$63</definedName>
    <definedName name="QB_ROW_81050" localSheetId="1" hidden="1">'PL24'!$F$14</definedName>
    <definedName name="QB_ROW_81050" localSheetId="2" hidden="1">'PL25'!$F$17</definedName>
    <definedName name="QB_ROW_81210" localSheetId="4" hidden="1">'TB24'!$B$145</definedName>
    <definedName name="QB_ROW_81210" localSheetId="5" hidden="1">'TB25'!$B$146</definedName>
    <definedName name="QB_ROW_81260" localSheetId="1" hidden="1">'PL24'!$G$16</definedName>
    <definedName name="QB_ROW_81260" localSheetId="2" hidden="1">'PL25'!$G$19</definedName>
    <definedName name="QB_ROW_81350" localSheetId="1" hidden="1">'PL24'!$F$17</definedName>
    <definedName name="QB_ROW_81350" localSheetId="2" hidden="1">'PL25'!$F$20</definedName>
    <definedName name="QB_ROW_8210" localSheetId="4" hidden="1">'TB24'!$B$179</definedName>
    <definedName name="QB_ROW_8210" localSheetId="5" hidden="1">'TB25'!$B$176</definedName>
    <definedName name="QB_ROW_82210" localSheetId="4" hidden="1">'TB24'!$B$153</definedName>
    <definedName name="QB_ROW_82210" localSheetId="5" hidden="1">'TB25'!$B$153</definedName>
    <definedName name="QB_ROW_82260" localSheetId="1" hidden="1">'PL24'!$G$29</definedName>
    <definedName name="QB_ROW_82260" localSheetId="2" hidden="1">'PL25'!$G$31</definedName>
    <definedName name="QB_ROW_8250" localSheetId="1" hidden="1">'PL24'!$F$67</definedName>
    <definedName name="QB_ROW_8250" localSheetId="2" hidden="1">'PL25'!$F$65</definedName>
    <definedName name="QB_ROW_8311" localSheetId="0" hidden="1">'BS24'!$B$110</definedName>
    <definedName name="QB_ROW_8311" localSheetId="3" hidden="1">'BS25'!$B$112</definedName>
    <definedName name="QB_ROW_83210" localSheetId="4" hidden="1">'TB24'!$B$148</definedName>
    <definedName name="QB_ROW_83210" localSheetId="5" hidden="1">'TB25'!$B$148</definedName>
    <definedName name="QB_ROW_83260" localSheetId="1" hidden="1">'PL24'!$G$24</definedName>
    <definedName name="QB_ROW_83260" localSheetId="2" hidden="1">'PL25'!$G$26</definedName>
    <definedName name="QB_ROW_84210" localSheetId="4" hidden="1">'TB24'!$B$149</definedName>
    <definedName name="QB_ROW_84210" localSheetId="5" hidden="1">'TB25'!$B$149</definedName>
    <definedName name="QB_ROW_84260" localSheetId="1" hidden="1">'PL24'!$G$25</definedName>
    <definedName name="QB_ROW_84260" localSheetId="2" hidden="1">'PL25'!$G$27</definedName>
    <definedName name="QB_ROW_85210" localSheetId="4" hidden="1">'TB24'!$B$150</definedName>
    <definedName name="QB_ROW_85210" localSheetId="5" hidden="1">'TB25'!$B$150</definedName>
    <definedName name="QB_ROW_85260" localSheetId="1" hidden="1">'PL24'!$G$26</definedName>
    <definedName name="QB_ROW_85260" localSheetId="2" hidden="1">'PL25'!$G$28</definedName>
    <definedName name="QB_ROW_86210" localSheetId="4" hidden="1">'TB24'!$B$151</definedName>
    <definedName name="QB_ROW_86210" localSheetId="5" hidden="1">'TB25'!$B$151</definedName>
    <definedName name="QB_ROW_86260" localSheetId="1" hidden="1">'PL24'!$G$27</definedName>
    <definedName name="QB_ROW_86260" localSheetId="2" hidden="1">'PL25'!$G$29</definedName>
    <definedName name="QB_ROW_86321" localSheetId="1" hidden="1">'PL24'!$C$54</definedName>
    <definedName name="QB_ROW_86321" localSheetId="2" hidden="1">'PL25'!$C$52</definedName>
    <definedName name="QB_ROW_87031" localSheetId="1" hidden="1">'PL24'!$D$21</definedName>
    <definedName name="QB_ROW_87031" localSheetId="2" hidden="1">'PL25'!$D$23</definedName>
    <definedName name="QB_ROW_87210" localSheetId="4" hidden="1">'TB24'!$B$152</definedName>
    <definedName name="QB_ROW_87210" localSheetId="5" hidden="1">'TB25'!$B$152</definedName>
    <definedName name="QB_ROW_87260" localSheetId="1" hidden="1">'PL24'!$G$28</definedName>
    <definedName name="QB_ROW_87260" localSheetId="2" hidden="1">'PL25'!$G$30</definedName>
    <definedName name="QB_ROW_87331" localSheetId="1" hidden="1">'PL24'!$D$53</definedName>
    <definedName name="QB_ROW_87331" localSheetId="2" hidden="1">'PL25'!$D$51</definedName>
    <definedName name="QB_ROW_88050" localSheetId="1" hidden="1">'PL24'!$F$33</definedName>
    <definedName name="QB_ROW_88050" localSheetId="2" hidden="1">'PL25'!$F$34</definedName>
    <definedName name="QB_ROW_88210" localSheetId="5" hidden="1">'TB25'!$B$155</definedName>
    <definedName name="QB_ROW_88260" localSheetId="2" hidden="1">'PL25'!$G$43</definedName>
    <definedName name="QB_ROW_88350" localSheetId="1" hidden="1">'PL24'!$F$44</definedName>
    <definedName name="QB_ROW_88350" localSheetId="2" hidden="1">'PL25'!$F$44</definedName>
    <definedName name="QB_ROW_89050" localSheetId="1" hidden="1">'PL24'!$F$23</definedName>
    <definedName name="QB_ROW_89050" localSheetId="2" hidden="1">'PL25'!$F$25</definedName>
    <definedName name="QB_ROW_89210" localSheetId="4" hidden="1">'TB24'!$B$147</definedName>
    <definedName name="QB_ROW_89260" localSheetId="1" hidden="1">'PL24'!$G$31</definedName>
    <definedName name="QB_ROW_89350" localSheetId="1" hidden="1">'PL24'!$F$32</definedName>
    <definedName name="QB_ROW_89350" localSheetId="2" hidden="1">'PL25'!$F$33</definedName>
    <definedName name="QB_ROW_9021" localSheetId="0" hidden="1">'BS24'!$C$64</definedName>
    <definedName name="QB_ROW_9021" localSheetId="3" hidden="1">'BS25'!$C$64</definedName>
    <definedName name="QB_ROW_90210" localSheetId="4" hidden="1">'TB24'!$B$143</definedName>
    <definedName name="QB_ROW_90210" localSheetId="5" hidden="1">'TB25'!$B$143</definedName>
    <definedName name="QB_ROW_90250" localSheetId="1" hidden="1">'PL24'!$F$12</definedName>
    <definedName name="QB_ROW_90250" localSheetId="2" hidden="1">'PL25'!$F$12</definedName>
    <definedName name="QB_ROW_9040" localSheetId="1" hidden="1">'PL24'!$E$77</definedName>
    <definedName name="QB_ROW_9040" localSheetId="2" hidden="1">'PL25'!$E$76</definedName>
    <definedName name="QB_ROW_91210" localSheetId="4" hidden="1">'TB24'!$B$155</definedName>
    <definedName name="QB_ROW_91210" localSheetId="5" hidden="1">'TB25'!$B$156</definedName>
    <definedName name="QB_ROW_91260" localSheetId="1" hidden="1">'PL24'!$G$34</definedName>
    <definedName name="QB_ROW_91260" localSheetId="2" hidden="1">'PL25'!$G$35</definedName>
    <definedName name="QB_ROW_92210" localSheetId="4" hidden="1">'TB24'!$B$156</definedName>
    <definedName name="QB_ROW_92210" localSheetId="5" hidden="1">'TB25'!$B$157</definedName>
    <definedName name="QB_ROW_92260" localSheetId="1" hidden="1">'PL24'!$G$35</definedName>
    <definedName name="QB_ROW_92260" localSheetId="2" hidden="1">'PL25'!$G$36</definedName>
    <definedName name="QB_ROW_9321" localSheetId="0" hidden="1">'BS24'!$C$101</definedName>
    <definedName name="QB_ROW_9321" localSheetId="3" hidden="1">'BS25'!$C$103</definedName>
    <definedName name="QB_ROW_93210" localSheetId="4" hidden="1">'TB24'!$B$157</definedName>
    <definedName name="QB_ROW_93210" localSheetId="5" hidden="1">'TB25'!$B$158</definedName>
    <definedName name="QB_ROW_93260" localSheetId="1" hidden="1">'PL24'!$G$36</definedName>
    <definedName name="QB_ROW_93260" localSheetId="2" hidden="1">'PL25'!$G$37</definedName>
    <definedName name="QB_ROW_9340" localSheetId="1" hidden="1">'PL24'!$E$132</definedName>
    <definedName name="QB_ROW_9340" localSheetId="2" hidden="1">'PL25'!$E$130</definedName>
    <definedName name="QB_ROW_94210" localSheetId="4" hidden="1">'TB24'!$B$158</definedName>
    <definedName name="QB_ROW_94260" localSheetId="1" hidden="1">'PL24'!$G$37</definedName>
    <definedName name="QB_ROW_96210" localSheetId="4" hidden="1">'TB24'!$B$160</definedName>
    <definedName name="QB_ROW_96210" localSheetId="5" hidden="1">'TB25'!$B$159</definedName>
    <definedName name="QB_ROW_96260" localSheetId="1" hidden="1">'PL24'!$G$39</definedName>
    <definedName name="QB_ROW_96260" localSheetId="2" hidden="1">'PL25'!$G$38</definedName>
    <definedName name="QB_ROW_97050" localSheetId="0" hidden="1">'BS24'!$F$94</definedName>
    <definedName name="QB_ROW_97210" localSheetId="4" hidden="1">'TB24'!$B$99</definedName>
    <definedName name="QB_ROW_97210" localSheetId="5" hidden="1">'TB25'!$B$100</definedName>
    <definedName name="QB_ROW_97260" localSheetId="0" hidden="1">'BS24'!$G$96</definedName>
    <definedName name="QB_ROW_97350" localSheetId="0" hidden="1">'BS24'!$F$97</definedName>
    <definedName name="QB_ROW_97350" localSheetId="3" hidden="1">'BS25'!$F$99</definedName>
    <definedName name="QB_ROW_98210" localSheetId="4" hidden="1">'TB24'!$B$67</definedName>
    <definedName name="QB_ROW_98210" localSheetId="5" hidden="1">'TB25'!$B$67</definedName>
    <definedName name="QB_ROW_98250" localSheetId="0" hidden="1">'BS24'!$F$67</definedName>
    <definedName name="QB_ROW_98250" localSheetId="3" hidden="1">'BS25'!$F$67</definedName>
    <definedName name="QB_ROW_99210" localSheetId="4" hidden="1">'TB24'!$B$161</definedName>
    <definedName name="QB_ROW_99210" localSheetId="5" hidden="1">'TB25'!$B$160</definedName>
    <definedName name="QB_ROW_99260" localSheetId="1" hidden="1">'PL24'!$G$40</definedName>
    <definedName name="QB_ROW_99260" localSheetId="2" hidden="1">'PL25'!$G$39</definedName>
    <definedName name="QBCANSUPPORTUPDATE" localSheetId="0">TRUE</definedName>
    <definedName name="QBCANSUPPORTUPDATE" localSheetId="3">TRUE</definedName>
    <definedName name="QBCANSUPPORTUPDATE" localSheetId="1">TRUE</definedName>
    <definedName name="QBCANSUPPORTUPDATE" localSheetId="2">TRUE</definedName>
    <definedName name="QBCANSUPPORTUPDATE" localSheetId="4">TRUE</definedName>
    <definedName name="QBCANSUPPORTUPDATE" localSheetId="5">TRUE</definedName>
    <definedName name="QBCOMPANYFILENAME" localSheetId="0">"C:\Quickbooks\Live Marketing, LLC 2020\live marketing, llc 2020.qbw"</definedName>
    <definedName name="QBCOMPANYFILENAME" localSheetId="3">"C:\Quickbooks\Live Marketing, LLC 2020\live marketing, llc 2020.qbw"</definedName>
    <definedName name="QBCOMPANYFILENAME" localSheetId="1">"C:\Quickbooks\Live Marketing, LLC 2020\live marketing, llc 2020.qbw"</definedName>
    <definedName name="QBCOMPANYFILENAME" localSheetId="2">"C:\Quickbooks\Live Marketing, LLC 2020\live marketing, llc 2020.qbw"</definedName>
    <definedName name="QBCOMPANYFILENAME" localSheetId="4">"C:\Quickbooks\Live Marketing, LLC 2020\live marketing, llc 2020.qbw"</definedName>
    <definedName name="QBCOMPANYFILENAME" localSheetId="5">"C:\Quickbooks\Live Marketing, LLC 2020\live marketing, llc 2020.qbw"</definedName>
    <definedName name="QBENDDATE" localSheetId="0">20241231</definedName>
    <definedName name="QBENDDATE" localSheetId="3">20251231</definedName>
    <definedName name="QBENDDATE" localSheetId="1">20241231</definedName>
    <definedName name="QBENDDATE" localSheetId="2">20251231</definedName>
    <definedName name="QBENDDATE" localSheetId="4">20241231</definedName>
    <definedName name="QBENDDATE" localSheetId="5">20251231</definedName>
    <definedName name="QBHEADERSONSCREEN" localSheetId="0">FALSE</definedName>
    <definedName name="QBHEADERSONSCREEN" localSheetId="3">FALSE</definedName>
    <definedName name="QBHEADERSONSCREEN" localSheetId="1">FALSE</definedName>
    <definedName name="QBHEADERSONSCREEN" localSheetId="2">FALSE</definedName>
    <definedName name="QBHEADERSONSCREEN" localSheetId="4">FALSE</definedName>
    <definedName name="QBHEADERSONSCREEN" localSheetId="5">FALSE</definedName>
    <definedName name="QBMETADATASIZE" localSheetId="0">6146</definedName>
    <definedName name="QBMETADATASIZE" localSheetId="3">6146</definedName>
    <definedName name="QBMETADATASIZE" localSheetId="1">6146</definedName>
    <definedName name="QBMETADATASIZE" localSheetId="2">6146</definedName>
    <definedName name="QBMETADATASIZE" localSheetId="4">6146</definedName>
    <definedName name="QBMETADATASIZE" localSheetId="5">6146</definedName>
    <definedName name="QBPRESERVECOLOR" localSheetId="0">TRUE</definedName>
    <definedName name="QBPRESERVECOLOR" localSheetId="3">TRUE</definedName>
    <definedName name="QBPRESERVECOLOR" localSheetId="1">TRUE</definedName>
    <definedName name="QBPRESERVECOLOR" localSheetId="2">TRUE</definedName>
    <definedName name="QBPRESERVECOLOR" localSheetId="4">TRUE</definedName>
    <definedName name="QBPRESERVECOLOR" localSheetId="5">TRUE</definedName>
    <definedName name="QBPRESERVEFONT" localSheetId="0">TRUE</definedName>
    <definedName name="QBPRESERVEFONT" localSheetId="3">TRUE</definedName>
    <definedName name="QBPRESERVEFONT" localSheetId="1">TRUE</definedName>
    <definedName name="QBPRESERVEFONT" localSheetId="2">TRUE</definedName>
    <definedName name="QBPRESERVEFONT" localSheetId="4">TRUE</definedName>
    <definedName name="QBPRESERVEFONT" localSheetId="5">TRUE</definedName>
    <definedName name="QBPRESERVEROWHEIGHT" localSheetId="0">TRUE</definedName>
    <definedName name="QBPRESERVEROWHEIGHT" localSheetId="3">TRUE</definedName>
    <definedName name="QBPRESERVEROWHEIGHT" localSheetId="1">TRUE</definedName>
    <definedName name="QBPRESERVEROWHEIGHT" localSheetId="2">TRUE</definedName>
    <definedName name="QBPRESERVEROWHEIGHT" localSheetId="4">TRUE</definedName>
    <definedName name="QBPRESERVEROWHEIGHT" localSheetId="5">TRUE</definedName>
    <definedName name="QBPRESERVESPACE" localSheetId="0">TRUE</definedName>
    <definedName name="QBPRESERVESPACE" localSheetId="3">TRUE</definedName>
    <definedName name="QBPRESERVESPACE" localSheetId="1">TRUE</definedName>
    <definedName name="QBPRESERVESPACE" localSheetId="2">TRUE</definedName>
    <definedName name="QBPRESERVESPACE" localSheetId="4">TRUE</definedName>
    <definedName name="QBPRESERVESPACE" localSheetId="5">TRUE</definedName>
    <definedName name="QBREPORTCOLAXIS" localSheetId="0">0</definedName>
    <definedName name="QBREPORTCOLAXIS" localSheetId="3">0</definedName>
    <definedName name="QBREPORTCOLAXIS" localSheetId="1">0</definedName>
    <definedName name="QBREPORTCOLAXIS" localSheetId="2">0</definedName>
    <definedName name="QBREPORTCOLAXIS" localSheetId="4">0</definedName>
    <definedName name="QBREPORTCOLAXIS" localSheetId="5">0</definedName>
    <definedName name="QBREPORTCOMPANYID" localSheetId="0">"733bd866eb064197bd087429e8f8f0d8"</definedName>
    <definedName name="QBREPORTCOMPANYID" localSheetId="3">"733bd866eb064197bd087429e8f8f0d8"</definedName>
    <definedName name="QBREPORTCOMPANYID" localSheetId="1">"733bd866eb064197bd087429e8f8f0d8"</definedName>
    <definedName name="QBREPORTCOMPANYID" localSheetId="2">"733bd866eb064197bd087429e8f8f0d8"</definedName>
    <definedName name="QBREPORTCOMPANYID" localSheetId="4">"733bd866eb064197bd087429e8f8f0d8"</definedName>
    <definedName name="QBREPORTCOMPANYID" localSheetId="5">"733bd866eb064197bd087429e8f8f0d8"</definedName>
    <definedName name="QBREPORTCOMPARECOL_ANNUALBUDGET" localSheetId="0">FALSE</definedName>
    <definedName name="QBREPORTCOMPARECOL_ANNUALBUDGET" localSheetId="3">FALSE</definedName>
    <definedName name="QBREPORTCOMPARECOL_ANNUALBUDGET" localSheetId="1">FALSE</definedName>
    <definedName name="QBREPORTCOMPARECOL_ANNUALBUDGET" localSheetId="2">FALSE</definedName>
    <definedName name="QBREPORTCOMPARECOL_ANNUALBUDGET" localSheetId="4">FALSE</definedName>
    <definedName name="QBREPORTCOMPARECOL_ANNUALBUDGET" localSheetId="5">FALSE</definedName>
    <definedName name="QBREPORTCOMPARECOL_AVGCOGS" localSheetId="0">FALSE</definedName>
    <definedName name="QBREPORTCOMPARECOL_AVGCOGS" localSheetId="3">FALSE</definedName>
    <definedName name="QBREPORTCOMPARECOL_AVGCOGS" localSheetId="1">FALSE</definedName>
    <definedName name="QBREPORTCOMPARECOL_AVGCOGS" localSheetId="2">FALSE</definedName>
    <definedName name="QBREPORTCOMPARECOL_AVGCOGS" localSheetId="4">FALSE</definedName>
    <definedName name="QBREPORTCOMPARECOL_AVGCOGS" localSheetId="5">FALSE</definedName>
    <definedName name="QBREPORTCOMPARECOL_AVGPRICE" localSheetId="0">FALSE</definedName>
    <definedName name="QBREPORTCOMPARECOL_AVGPRICE" localSheetId="3">FALSE</definedName>
    <definedName name="QBREPORTCOMPARECOL_AVGPRICE" localSheetId="1">FALSE</definedName>
    <definedName name="QBREPORTCOMPARECOL_AVGPRICE" localSheetId="2">FALSE</definedName>
    <definedName name="QBREPORTCOMPARECOL_AVGPRICE" localSheetId="4">FALSE</definedName>
    <definedName name="QBREPORTCOMPARECOL_AVGPRICE" localSheetId="5">FALSE</definedName>
    <definedName name="QBREPORTCOMPARECOL_BUDDIFF" localSheetId="0">FALSE</definedName>
    <definedName name="QBREPORTCOMPARECOL_BUDDIFF" localSheetId="3">FALSE</definedName>
    <definedName name="QBREPORTCOMPARECOL_BUDDIFF" localSheetId="1">FALSE</definedName>
    <definedName name="QBREPORTCOMPARECOL_BUDDIFF" localSheetId="2">FALSE</definedName>
    <definedName name="QBREPORTCOMPARECOL_BUDDIFF" localSheetId="4">FALSE</definedName>
    <definedName name="QBREPORTCOMPARECOL_BUDDIFF" localSheetId="5">FALSE</definedName>
    <definedName name="QBREPORTCOMPARECOL_BUDGET" localSheetId="0">FALSE</definedName>
    <definedName name="QBREPORTCOMPARECOL_BUDGET" localSheetId="3">FALSE</definedName>
    <definedName name="QBREPORTCOMPARECOL_BUDGET" localSheetId="1">FALSE</definedName>
    <definedName name="QBREPORTCOMPARECOL_BUDGET" localSheetId="2">FALSE</definedName>
    <definedName name="QBREPORTCOMPARECOL_BUDGET" localSheetId="4">FALSE</definedName>
    <definedName name="QBREPORTCOMPARECOL_BUDGET" localSheetId="5">FALSE</definedName>
    <definedName name="QBREPORTCOMPARECOL_BUDPCT" localSheetId="0">FALSE</definedName>
    <definedName name="QBREPORTCOMPARECOL_BUDPCT" localSheetId="3">FALSE</definedName>
    <definedName name="QBREPORTCOMPARECOL_BUDPCT" localSheetId="1">FALSE</definedName>
    <definedName name="QBREPORTCOMPARECOL_BUDPCT" localSheetId="2">FALSE</definedName>
    <definedName name="QBREPORTCOMPARECOL_BUDPCT" localSheetId="4">FALSE</definedName>
    <definedName name="QBREPORTCOMPARECOL_BUDPCT" localSheetId="5">FALSE</definedName>
    <definedName name="QBREPORTCOMPARECOL_COGS" localSheetId="0">FALSE</definedName>
    <definedName name="QBREPORTCOMPARECOL_COGS" localSheetId="3">FALSE</definedName>
    <definedName name="QBREPORTCOMPARECOL_COGS" localSheetId="1">FALSE</definedName>
    <definedName name="QBREPORTCOMPARECOL_COGS" localSheetId="2">FALSE</definedName>
    <definedName name="QBREPORTCOMPARECOL_COGS" localSheetId="4">FALSE</definedName>
    <definedName name="QBREPORTCOMPARECOL_COGS" localSheetId="5">FALSE</definedName>
    <definedName name="QBREPORTCOMPARECOL_EXCLUDEAMOUNT" localSheetId="0">FALSE</definedName>
    <definedName name="QBREPORTCOMPARECOL_EXCLUDEAMOUNT" localSheetId="3">FALSE</definedName>
    <definedName name="QBREPORTCOMPARECOL_EXCLUDEAMOUNT" localSheetId="1">FALSE</definedName>
    <definedName name="QBREPORTCOMPARECOL_EXCLUDEAMOUNT" localSheetId="2">FALSE</definedName>
    <definedName name="QBREPORTCOMPARECOL_EXCLUDEAMOUNT" localSheetId="4">FALSE</definedName>
    <definedName name="QBREPORTCOMPARECOL_EXCLUDEAMOUNT" localSheetId="5">FALSE</definedName>
    <definedName name="QBREPORTCOMPARECOL_EXCLUDECURPERIOD" localSheetId="0">FALSE</definedName>
    <definedName name="QBREPORTCOMPARECOL_EXCLUDECURPERIOD" localSheetId="3">FALSE</definedName>
    <definedName name="QBREPORTCOMPARECOL_EXCLUDECURPERIOD" localSheetId="1">FALSE</definedName>
    <definedName name="QBREPORTCOMPARECOL_EXCLUDECURPERIOD" localSheetId="2">FALSE</definedName>
    <definedName name="QBREPORTCOMPARECOL_EXCLUDECURPERIOD" localSheetId="4">FALSE</definedName>
    <definedName name="QBREPORTCOMPARECOL_EXCLUDECURPERIOD" localSheetId="5">FALSE</definedName>
    <definedName name="QBREPORTCOMPARECOL_FORECAST" localSheetId="0">FALSE</definedName>
    <definedName name="QBREPORTCOMPARECOL_FORECAST" localSheetId="3">FALSE</definedName>
    <definedName name="QBREPORTCOMPARECOL_FORECAST" localSheetId="1">FALSE</definedName>
    <definedName name="QBREPORTCOMPARECOL_FORECAST" localSheetId="2">FALSE</definedName>
    <definedName name="QBREPORTCOMPARECOL_FORECAST" localSheetId="4">FALSE</definedName>
    <definedName name="QBREPORTCOMPARECOL_FORECAST" localSheetId="5">FALSE</definedName>
    <definedName name="QBREPORTCOMPARECOL_GROSSMARGIN" localSheetId="0">FALSE</definedName>
    <definedName name="QBREPORTCOMPARECOL_GROSSMARGIN" localSheetId="3">FALSE</definedName>
    <definedName name="QBREPORTCOMPARECOL_GROSSMARGIN" localSheetId="1">FALSE</definedName>
    <definedName name="QBREPORTCOMPARECOL_GROSSMARGIN" localSheetId="2">FALSE</definedName>
    <definedName name="QBREPORTCOMPARECOL_GROSSMARGIN" localSheetId="4">FALSE</definedName>
    <definedName name="QBREPORTCOMPARECOL_GROSSMARGIN" localSheetId="5">FALSE</definedName>
    <definedName name="QBREPORTCOMPARECOL_GROSSMARGINPCT" localSheetId="0">FALSE</definedName>
    <definedName name="QBREPORTCOMPARECOL_GROSSMARGINPCT" localSheetId="3">FALSE</definedName>
    <definedName name="QBREPORTCOMPARECOL_GROSSMARGINPCT" localSheetId="1">FALSE</definedName>
    <definedName name="QBREPORTCOMPARECOL_GROSSMARGINPCT" localSheetId="2">FALSE</definedName>
    <definedName name="QBREPORTCOMPARECOL_GROSSMARGINPCT" localSheetId="4">FALSE</definedName>
    <definedName name="QBREPORTCOMPARECOL_GROSSMARGINPCT" localSheetId="5">FALSE</definedName>
    <definedName name="QBREPORTCOMPARECOL_HOURS" localSheetId="0">FALSE</definedName>
    <definedName name="QBREPORTCOMPARECOL_HOURS" localSheetId="3">FALSE</definedName>
    <definedName name="QBREPORTCOMPARECOL_HOURS" localSheetId="1">FALSE</definedName>
    <definedName name="QBREPORTCOMPARECOL_HOURS" localSheetId="2">FALSE</definedName>
    <definedName name="QBREPORTCOMPARECOL_HOURS" localSheetId="4">FALSE</definedName>
    <definedName name="QBREPORTCOMPARECOL_HOURS" localSheetId="5">FALSE</definedName>
    <definedName name="QBREPORTCOMPARECOL_PCTCOL" localSheetId="0">FALSE</definedName>
    <definedName name="QBREPORTCOMPARECOL_PCTCOL" localSheetId="3">FALSE</definedName>
    <definedName name="QBREPORTCOMPARECOL_PCTCOL" localSheetId="1">FALSE</definedName>
    <definedName name="QBREPORTCOMPARECOL_PCTCOL" localSheetId="2">FALSE</definedName>
    <definedName name="QBREPORTCOMPARECOL_PCTCOL" localSheetId="4">FALSE</definedName>
    <definedName name="QBREPORTCOMPARECOL_PCTCOL" localSheetId="5">FALSE</definedName>
    <definedName name="QBREPORTCOMPARECOL_PCTEXPENSE" localSheetId="0">FALSE</definedName>
    <definedName name="QBREPORTCOMPARECOL_PCTEXPENSE" localSheetId="3">FALSE</definedName>
    <definedName name="QBREPORTCOMPARECOL_PCTEXPENSE" localSheetId="1">FALSE</definedName>
    <definedName name="QBREPORTCOMPARECOL_PCTEXPENSE" localSheetId="2">FALSE</definedName>
    <definedName name="QBREPORTCOMPARECOL_PCTEXPENSE" localSheetId="4">FALSE</definedName>
    <definedName name="QBREPORTCOMPARECOL_PCTEXPENSE" localSheetId="5">FALSE</definedName>
    <definedName name="QBREPORTCOMPARECOL_PCTINCOME" localSheetId="0">FALSE</definedName>
    <definedName name="QBREPORTCOMPARECOL_PCTINCOME" localSheetId="3">FALSE</definedName>
    <definedName name="QBREPORTCOMPARECOL_PCTINCOME" localSheetId="1">FALSE</definedName>
    <definedName name="QBREPORTCOMPARECOL_PCTINCOME" localSheetId="2">FALSE</definedName>
    <definedName name="QBREPORTCOMPARECOL_PCTINCOME" localSheetId="4">FALSE</definedName>
    <definedName name="QBREPORTCOMPARECOL_PCTINCOME" localSheetId="5">FALSE</definedName>
    <definedName name="QBREPORTCOMPARECOL_PCTOFSALES" localSheetId="0">FALSE</definedName>
    <definedName name="QBREPORTCOMPARECOL_PCTOFSALES" localSheetId="3">FALSE</definedName>
    <definedName name="QBREPORTCOMPARECOL_PCTOFSALES" localSheetId="1">FALSE</definedName>
    <definedName name="QBREPORTCOMPARECOL_PCTOFSALES" localSheetId="2">FALSE</definedName>
    <definedName name="QBREPORTCOMPARECOL_PCTOFSALES" localSheetId="4">FALSE</definedName>
    <definedName name="QBREPORTCOMPARECOL_PCTOFSALES" localSheetId="5">FALSE</definedName>
    <definedName name="QBREPORTCOMPARECOL_PCTROW" localSheetId="0">FALSE</definedName>
    <definedName name="QBREPORTCOMPARECOL_PCTROW" localSheetId="3">FALSE</definedName>
    <definedName name="QBREPORTCOMPARECOL_PCTROW" localSheetId="1">FALSE</definedName>
    <definedName name="QBREPORTCOMPARECOL_PCTROW" localSheetId="2">FALSE</definedName>
    <definedName name="QBREPORTCOMPARECOL_PCTROW" localSheetId="4">FALSE</definedName>
    <definedName name="QBREPORTCOMPARECOL_PCTROW" localSheetId="5">FALSE</definedName>
    <definedName name="QBREPORTCOMPARECOL_PPDIFF" localSheetId="0">FALSE</definedName>
    <definedName name="QBREPORTCOMPARECOL_PPDIFF" localSheetId="3">FALSE</definedName>
    <definedName name="QBREPORTCOMPARECOL_PPDIFF" localSheetId="1">FALSE</definedName>
    <definedName name="QBREPORTCOMPARECOL_PPDIFF" localSheetId="2">FALSE</definedName>
    <definedName name="QBREPORTCOMPARECOL_PPDIFF" localSheetId="4">FALSE</definedName>
    <definedName name="QBREPORTCOMPARECOL_PPDIFF" localSheetId="5">FALSE</definedName>
    <definedName name="QBREPORTCOMPARECOL_PPPCT" localSheetId="0">FALSE</definedName>
    <definedName name="QBREPORTCOMPARECOL_PPPCT" localSheetId="3">FALSE</definedName>
    <definedName name="QBREPORTCOMPARECOL_PPPCT" localSheetId="1">FALSE</definedName>
    <definedName name="QBREPORTCOMPARECOL_PPPCT" localSheetId="2">FALSE</definedName>
    <definedName name="QBREPORTCOMPARECOL_PPPCT" localSheetId="4">FALSE</definedName>
    <definedName name="QBREPORTCOMPARECOL_PPPCT" localSheetId="5">FALSE</definedName>
    <definedName name="QBREPORTCOMPARECOL_PREVPERIOD" localSheetId="0">FALSE</definedName>
    <definedName name="QBREPORTCOMPARECOL_PREVPERIOD" localSheetId="3">FALSE</definedName>
    <definedName name="QBREPORTCOMPARECOL_PREVPERIOD" localSheetId="1">FALSE</definedName>
    <definedName name="QBREPORTCOMPARECOL_PREVPERIOD" localSheetId="2">FALSE</definedName>
    <definedName name="QBREPORTCOMPARECOL_PREVPERIOD" localSheetId="4">FALSE</definedName>
    <definedName name="QBREPORTCOMPARECOL_PREVPERIOD" localSheetId="5">FALSE</definedName>
    <definedName name="QBREPORTCOMPARECOL_PREVYEAR" localSheetId="0">FALSE</definedName>
    <definedName name="QBREPORTCOMPARECOL_PREVYEAR" localSheetId="3">FALSE</definedName>
    <definedName name="QBREPORTCOMPARECOL_PREVYEAR" localSheetId="1">FALSE</definedName>
    <definedName name="QBREPORTCOMPARECOL_PREVYEAR" localSheetId="2">FALSE</definedName>
    <definedName name="QBREPORTCOMPARECOL_PREVYEAR" localSheetId="4">FALSE</definedName>
    <definedName name="QBREPORTCOMPARECOL_PREVYEAR" localSheetId="5">FALSE</definedName>
    <definedName name="QBREPORTCOMPARECOL_PYDIFF" localSheetId="0">FALSE</definedName>
    <definedName name="QBREPORTCOMPARECOL_PYDIFF" localSheetId="3">FALSE</definedName>
    <definedName name="QBREPORTCOMPARECOL_PYDIFF" localSheetId="1">FALSE</definedName>
    <definedName name="QBREPORTCOMPARECOL_PYDIFF" localSheetId="2">FALSE</definedName>
    <definedName name="QBREPORTCOMPARECOL_PYDIFF" localSheetId="4">FALSE</definedName>
    <definedName name="QBREPORTCOMPARECOL_PYDIFF" localSheetId="5">FALSE</definedName>
    <definedName name="QBREPORTCOMPARECOL_PYPCT" localSheetId="0">FALSE</definedName>
    <definedName name="QBREPORTCOMPARECOL_PYPCT" localSheetId="3">FALSE</definedName>
    <definedName name="QBREPORTCOMPARECOL_PYPCT" localSheetId="1">FALSE</definedName>
    <definedName name="QBREPORTCOMPARECOL_PYPCT" localSheetId="2">FALSE</definedName>
    <definedName name="QBREPORTCOMPARECOL_PYPCT" localSheetId="4">FALSE</definedName>
    <definedName name="QBREPORTCOMPARECOL_PYPCT" localSheetId="5">FALSE</definedName>
    <definedName name="QBREPORTCOMPARECOL_QTY" localSheetId="0">FALSE</definedName>
    <definedName name="QBREPORTCOMPARECOL_QTY" localSheetId="3">FALSE</definedName>
    <definedName name="QBREPORTCOMPARECOL_QTY" localSheetId="1">FALSE</definedName>
    <definedName name="QBREPORTCOMPARECOL_QTY" localSheetId="2">FALSE</definedName>
    <definedName name="QBREPORTCOMPARECOL_QTY" localSheetId="4">FALSE</definedName>
    <definedName name="QBREPORTCOMPARECOL_QTY" localSheetId="5">FALSE</definedName>
    <definedName name="QBREPORTCOMPARECOL_RATE" localSheetId="0">FALSE</definedName>
    <definedName name="QBREPORTCOMPARECOL_RATE" localSheetId="3">FALSE</definedName>
    <definedName name="QBREPORTCOMPARECOL_RATE" localSheetId="1">FALSE</definedName>
    <definedName name="QBREPORTCOMPARECOL_RATE" localSheetId="2">FALSE</definedName>
    <definedName name="QBREPORTCOMPARECOL_RATE" localSheetId="4">FALSE</definedName>
    <definedName name="QBREPORTCOMPARECOL_RATE" localSheetId="5">FALSE</definedName>
    <definedName name="QBREPORTCOMPARECOL_TRIPBILLEDMILES" localSheetId="0">FALSE</definedName>
    <definedName name="QBREPORTCOMPARECOL_TRIPBILLEDMILES" localSheetId="3">FALSE</definedName>
    <definedName name="QBREPORTCOMPARECOL_TRIPBILLEDMILES" localSheetId="1">FALSE</definedName>
    <definedName name="QBREPORTCOMPARECOL_TRIPBILLEDMILES" localSheetId="2">FALSE</definedName>
    <definedName name="QBREPORTCOMPARECOL_TRIPBILLEDMILES" localSheetId="4">FALSE</definedName>
    <definedName name="QBREPORTCOMPARECOL_TRIPBILLEDMILES" localSheetId="5">FALSE</definedName>
    <definedName name="QBREPORTCOMPARECOL_TRIPBILLINGAMOUNT" localSheetId="0">FALSE</definedName>
    <definedName name="QBREPORTCOMPARECOL_TRIPBILLINGAMOUNT" localSheetId="3">FALSE</definedName>
    <definedName name="QBREPORTCOMPARECOL_TRIPBILLINGAMOUNT" localSheetId="1">FALSE</definedName>
    <definedName name="QBREPORTCOMPARECOL_TRIPBILLINGAMOUNT" localSheetId="2">FALSE</definedName>
    <definedName name="QBREPORTCOMPARECOL_TRIPBILLINGAMOUNT" localSheetId="4">FALSE</definedName>
    <definedName name="QBREPORTCOMPARECOL_TRIPBILLINGAMOUNT" localSheetId="5">FALSE</definedName>
    <definedName name="QBREPORTCOMPARECOL_TRIPMILES" localSheetId="0">FALSE</definedName>
    <definedName name="QBREPORTCOMPARECOL_TRIPMILES" localSheetId="3">FALSE</definedName>
    <definedName name="QBREPORTCOMPARECOL_TRIPMILES" localSheetId="1">FALSE</definedName>
    <definedName name="QBREPORTCOMPARECOL_TRIPMILES" localSheetId="2">FALSE</definedName>
    <definedName name="QBREPORTCOMPARECOL_TRIPMILES" localSheetId="4">FALSE</definedName>
    <definedName name="QBREPORTCOMPARECOL_TRIPMILES" localSheetId="5">FALSE</definedName>
    <definedName name="QBREPORTCOMPARECOL_TRIPNOTBILLABLEMILES" localSheetId="0">FALSE</definedName>
    <definedName name="QBREPORTCOMPARECOL_TRIPNOTBILLABLEMILES" localSheetId="3">FALSE</definedName>
    <definedName name="QBREPORTCOMPARECOL_TRIPNOTBILLABLEMILES" localSheetId="1">FALSE</definedName>
    <definedName name="QBREPORTCOMPARECOL_TRIPNOTBILLABLEMILES" localSheetId="2">FALSE</definedName>
    <definedName name="QBREPORTCOMPARECOL_TRIPNOTBILLABLEMILES" localSheetId="4">FALSE</definedName>
    <definedName name="QBREPORTCOMPARECOL_TRIPNOTBILLABLEMILES" localSheetId="5">FALSE</definedName>
    <definedName name="QBREPORTCOMPARECOL_TRIPTAXDEDUCTIBLEAMOUNT" localSheetId="0">FALSE</definedName>
    <definedName name="QBREPORTCOMPARECOL_TRIPTAXDEDUCTIBLEAMOUNT" localSheetId="3">FALSE</definedName>
    <definedName name="QBREPORTCOMPARECOL_TRIPTAXDEDUCTIBLEAMOUNT" localSheetId="1">FALSE</definedName>
    <definedName name="QBREPORTCOMPARECOL_TRIPTAXDEDUCTIBLEAMOUNT" localSheetId="2">FALSE</definedName>
    <definedName name="QBREPORTCOMPARECOL_TRIPTAXDEDUCTIBLEAMOUNT" localSheetId="4">FALSE</definedName>
    <definedName name="QBREPORTCOMPARECOL_TRIPTAXDEDUCTIBLEAMOUNT" localSheetId="5">FALSE</definedName>
    <definedName name="QBREPORTCOMPARECOL_TRIPUNBILLEDMILES" localSheetId="0">FALSE</definedName>
    <definedName name="QBREPORTCOMPARECOL_TRIPUNBILLEDMILES" localSheetId="3">FALSE</definedName>
    <definedName name="QBREPORTCOMPARECOL_TRIPUNBILLEDMILES" localSheetId="1">FALSE</definedName>
    <definedName name="QBREPORTCOMPARECOL_TRIPUNBILLEDMILES" localSheetId="2">FALSE</definedName>
    <definedName name="QBREPORTCOMPARECOL_TRIPUNBILLEDMILES" localSheetId="4">FALSE</definedName>
    <definedName name="QBREPORTCOMPARECOL_TRIPUNBILLEDMILES" localSheetId="5">FALSE</definedName>
    <definedName name="QBREPORTCOMPARECOL_YTD" localSheetId="0">FALSE</definedName>
    <definedName name="QBREPORTCOMPARECOL_YTD" localSheetId="3">FALSE</definedName>
    <definedName name="QBREPORTCOMPARECOL_YTD" localSheetId="1">FALSE</definedName>
    <definedName name="QBREPORTCOMPARECOL_YTD" localSheetId="2">FALSE</definedName>
    <definedName name="QBREPORTCOMPARECOL_YTD" localSheetId="4">FALSE</definedName>
    <definedName name="QBREPORTCOMPARECOL_YTD" localSheetId="5">FALSE</definedName>
    <definedName name="QBREPORTCOMPARECOL_YTDBUDGET" localSheetId="0">FALSE</definedName>
    <definedName name="QBREPORTCOMPARECOL_YTDBUDGET" localSheetId="3">FALSE</definedName>
    <definedName name="QBREPORTCOMPARECOL_YTDBUDGET" localSheetId="1">FALSE</definedName>
    <definedName name="QBREPORTCOMPARECOL_YTDBUDGET" localSheetId="2">FALSE</definedName>
    <definedName name="QBREPORTCOMPARECOL_YTDBUDGET" localSheetId="4">FALSE</definedName>
    <definedName name="QBREPORTCOMPARECOL_YTDBUDGET" localSheetId="5">FALSE</definedName>
    <definedName name="QBREPORTCOMPARECOL_YTDPCT" localSheetId="0">FALSE</definedName>
    <definedName name="QBREPORTCOMPARECOL_YTDPCT" localSheetId="3">FALSE</definedName>
    <definedName name="QBREPORTCOMPARECOL_YTDPCT" localSheetId="1">FALSE</definedName>
    <definedName name="QBREPORTCOMPARECOL_YTDPCT" localSheetId="2">FALSE</definedName>
    <definedName name="QBREPORTCOMPARECOL_YTDPCT" localSheetId="4">FALSE</definedName>
    <definedName name="QBREPORTCOMPARECOL_YTDPCT" localSheetId="5">FALSE</definedName>
    <definedName name="QBREPORTROWAXIS" localSheetId="0">9</definedName>
    <definedName name="QBREPORTROWAXIS" localSheetId="3">9</definedName>
    <definedName name="QBREPORTROWAXIS" localSheetId="1">11</definedName>
    <definedName name="QBREPORTROWAXIS" localSheetId="2">11</definedName>
    <definedName name="QBREPORTROWAXIS" localSheetId="4">12</definedName>
    <definedName name="QBREPORTROWAXIS" localSheetId="5">12</definedName>
    <definedName name="QBREPORTSUBCOLAXIS" localSheetId="0">0</definedName>
    <definedName name="QBREPORTSUBCOLAXIS" localSheetId="3">0</definedName>
    <definedName name="QBREPORTSUBCOLAXIS" localSheetId="1">0</definedName>
    <definedName name="QBREPORTSUBCOLAXIS" localSheetId="2">0</definedName>
    <definedName name="QBREPORTSUBCOLAXIS" localSheetId="4">23</definedName>
    <definedName name="QBREPORTSUBCOLAXIS" localSheetId="5">23</definedName>
    <definedName name="QBREPORTTYPE" localSheetId="0">5</definedName>
    <definedName name="QBREPORTTYPE" localSheetId="3">5</definedName>
    <definedName name="QBREPORTTYPE" localSheetId="1">0</definedName>
    <definedName name="QBREPORTTYPE" localSheetId="2">0</definedName>
    <definedName name="QBREPORTTYPE" localSheetId="4">27</definedName>
    <definedName name="QBREPORTTYPE" localSheetId="5">27</definedName>
    <definedName name="QBROWHEADERS" localSheetId="0">7</definedName>
    <definedName name="QBROWHEADERS" localSheetId="3">6</definedName>
    <definedName name="QBROWHEADERS" localSheetId="1">8</definedName>
    <definedName name="QBROWHEADERS" localSheetId="2">8</definedName>
    <definedName name="QBROWHEADERS" localSheetId="4">2</definedName>
    <definedName name="QBROWHEADERS" localSheetId="5">2</definedName>
    <definedName name="QBSTARTDATE" localSheetId="0">20241231</definedName>
    <definedName name="QBSTARTDATE" localSheetId="3">20251231</definedName>
    <definedName name="QBSTARTDATE" localSheetId="1">20240101</definedName>
    <definedName name="QBSTARTDATE" localSheetId="2">20250101</definedName>
    <definedName name="QBSTARTDATE" localSheetId="4">20240101</definedName>
    <definedName name="QBSTARTDATE" localSheetId="5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8" i="7" l="1"/>
  <c r="E248" i="7"/>
  <c r="C251" i="6"/>
  <c r="E251" i="6"/>
  <c r="I17" i="5"/>
  <c r="I19" i="5"/>
  <c r="I20" i="5"/>
  <c r="I32" i="5"/>
  <c r="I44" i="5"/>
  <c r="I51" i="5"/>
  <c r="I52" i="5"/>
  <c r="I53" i="5"/>
  <c r="I54" i="5"/>
  <c r="I63" i="5"/>
  <c r="I74" i="5"/>
  <c r="I76" i="5"/>
  <c r="I90" i="5"/>
  <c r="I95" i="5"/>
  <c r="I103" i="5"/>
  <c r="I105" i="5"/>
  <c r="I113" i="5"/>
  <c r="I116" i="5"/>
  <c r="I129" i="5"/>
  <c r="I132" i="5"/>
  <c r="I149" i="5"/>
  <c r="I154" i="5"/>
  <c r="I158" i="5"/>
  <c r="I160" i="5"/>
  <c r="I161" i="5"/>
  <c r="I168" i="5"/>
  <c r="I169" i="5"/>
  <c r="I173" i="5"/>
  <c r="I174" i="5"/>
  <c r="I175" i="5"/>
  <c r="I16" i="4"/>
  <c r="I20" i="4"/>
  <c r="I21" i="4"/>
  <c r="I22" i="4"/>
  <c r="I33" i="4"/>
  <c r="I44" i="4"/>
  <c r="I49" i="4"/>
  <c r="I50" i="4"/>
  <c r="I51" i="4"/>
  <c r="I52" i="4"/>
  <c r="I61" i="4"/>
  <c r="I73" i="4"/>
  <c r="I75" i="4"/>
  <c r="I88" i="4"/>
  <c r="I93" i="4"/>
  <c r="I101" i="4"/>
  <c r="I103" i="4"/>
  <c r="I111" i="4"/>
  <c r="I115" i="4"/>
  <c r="I128" i="4"/>
  <c r="I130" i="4"/>
  <c r="I141" i="4"/>
  <c r="I150" i="4"/>
  <c r="I156" i="4"/>
  <c r="I159" i="4"/>
  <c r="I160" i="4"/>
  <c r="I161" i="4"/>
  <c r="I167" i="4"/>
  <c r="I168" i="4"/>
  <c r="I173" i="4"/>
  <c r="I174" i="4"/>
  <c r="I175" i="4"/>
  <c r="H15" i="3"/>
  <c r="H16" i="3"/>
  <c r="H20" i="3"/>
  <c r="H21" i="3"/>
  <c r="H29" i="3"/>
  <c r="H36" i="3"/>
  <c r="H40" i="3"/>
  <c r="H41" i="3"/>
  <c r="H42" i="3"/>
  <c r="H47" i="3"/>
  <c r="H54" i="3"/>
  <c r="H57" i="3"/>
  <c r="H60" i="3"/>
  <c r="H61" i="3"/>
  <c r="H68" i="3"/>
  <c r="H69" i="3"/>
  <c r="H80" i="3"/>
  <c r="H81" i="3"/>
  <c r="H85" i="3"/>
  <c r="H91" i="3"/>
  <c r="H97" i="3"/>
  <c r="H99" i="3"/>
  <c r="H100" i="3"/>
  <c r="H101" i="3"/>
  <c r="H107" i="3"/>
  <c r="H108" i="3"/>
  <c r="H109" i="3"/>
  <c r="H110" i="3"/>
  <c r="H117" i="3"/>
  <c r="H121" i="3"/>
  <c r="H122" i="3"/>
  <c r="G124" i="1"/>
  <c r="G123" i="1"/>
  <c r="G119" i="1"/>
  <c r="G112" i="1"/>
  <c r="G111" i="1"/>
  <c r="G110" i="1"/>
  <c r="G109" i="1"/>
  <c r="G103" i="1"/>
  <c r="G102" i="1"/>
  <c r="G101" i="1"/>
  <c r="G97" i="1"/>
  <c r="G93" i="1"/>
  <c r="G85" i="1"/>
  <c r="G81" i="1"/>
  <c r="G80" i="1"/>
  <c r="G69" i="1"/>
  <c r="G68" i="1"/>
  <c r="G61" i="1"/>
  <c r="G60" i="1"/>
  <c r="G57" i="1"/>
  <c r="G54" i="1"/>
  <c r="G47" i="1"/>
  <c r="G42" i="1"/>
  <c r="G41" i="1"/>
  <c r="G40" i="1"/>
  <c r="G36" i="1"/>
  <c r="G29" i="1"/>
  <c r="G21" i="1"/>
  <c r="G20" i="1"/>
  <c r="G16" i="1"/>
  <c r="G15" i="1"/>
</calcChain>
</file>

<file path=xl/sharedStrings.xml><?xml version="1.0" encoding="utf-8"?>
<sst xmlns="http://schemas.openxmlformats.org/spreadsheetml/2006/main" count="1097" uniqueCount="385">
  <si>
    <t>Dec 31, 25</t>
  </si>
  <si>
    <t>ASSETS</t>
  </si>
  <si>
    <t>Current Assets</t>
  </si>
  <si>
    <t>Checking/Savings</t>
  </si>
  <si>
    <t>1000 · Cash</t>
  </si>
  <si>
    <t>1000-02 · FHB - MLI Merch Acct# 7624</t>
  </si>
  <si>
    <t>1000-11 · IB -SILLOET - Op - Acct# 3101</t>
  </si>
  <si>
    <t>1000-13 · Bank of Tampa - PPP 2nd Acct</t>
  </si>
  <si>
    <t>1000-14 · FHB LM Payroll (2) 1230</t>
  </si>
  <si>
    <t>1000-15 · FHB - Depository Acct 1610</t>
  </si>
  <si>
    <t>1000-16 · FHB - Oper 2nd Acct 1826</t>
  </si>
  <si>
    <t>1000-18 · WealthFront - Live Marketing</t>
  </si>
  <si>
    <t>1000-19 · INB - LM Savings Acct 8916</t>
  </si>
  <si>
    <t>1000-20 · INB - LM Checking Acct 8522</t>
  </si>
  <si>
    <t>Total 1000 · Cash</t>
  </si>
  <si>
    <t>Total Checking/Savings</t>
  </si>
  <si>
    <t>Accounts Receivable</t>
  </si>
  <si>
    <t>1200 · Accounts Receivables</t>
  </si>
  <si>
    <t>1200-02 · A/R- Live Marketing</t>
  </si>
  <si>
    <t>Total 1200 · Accounts Receivables</t>
  </si>
  <si>
    <t>Total Accounts Receivable</t>
  </si>
  <si>
    <t>Other Current Assets</t>
  </si>
  <si>
    <t>12001 · Other Current Assets</t>
  </si>
  <si>
    <t>1200-11 · Due from MLI/LandTrust</t>
  </si>
  <si>
    <t>1200-17 · Due from Life Protected</t>
  </si>
  <si>
    <t>1206 · Allowance for Unapplied Credits</t>
  </si>
  <si>
    <t>1208 · Employee Advances</t>
  </si>
  <si>
    <t>1209 · Due From 7174 Holdings</t>
  </si>
  <si>
    <t>Total 12001 · Other Current Assets</t>
  </si>
  <si>
    <t>1300 · Inventory</t>
  </si>
  <si>
    <t>1300-01 · Paper</t>
  </si>
  <si>
    <t>1300-02 · Chargeable Materials</t>
  </si>
  <si>
    <t>1300-04 · TGH Inventory</t>
  </si>
  <si>
    <t>1300-05 · Roche Inventory</t>
  </si>
  <si>
    <t>1300-06 · Work in Process</t>
  </si>
  <si>
    <t>Total 1300 · Inventory</t>
  </si>
  <si>
    <t>1400 · Other Current  Assets</t>
  </si>
  <si>
    <t>1400-03 · Prepaid Expenses</t>
  </si>
  <si>
    <t>1400-04 · Deposits on Utility</t>
  </si>
  <si>
    <t>Total 1400 · Other Current  Assets</t>
  </si>
  <si>
    <t>Total Other Current Assets</t>
  </si>
  <si>
    <t>Total Current Assets</t>
  </si>
  <si>
    <t>Fixed Assets</t>
  </si>
  <si>
    <t>1500 · Furniture and Equipment</t>
  </si>
  <si>
    <t>1500-01 · Furniture</t>
  </si>
  <si>
    <t>1500-03 · Vehicles</t>
  </si>
  <si>
    <t>Total 1500 · Furniture and Equipment</t>
  </si>
  <si>
    <t>1600 · Fixed Assets</t>
  </si>
  <si>
    <t>1600-03 · Equipment &amp; Fixtures</t>
  </si>
  <si>
    <t>1600-04 · Computer Equipment</t>
  </si>
  <si>
    <t>1600-05 · Leasehold Improvements</t>
  </si>
  <si>
    <t>1600-07 · Software - Capitalized Costs</t>
  </si>
  <si>
    <t>1600-09 · Ryobi 920ST-5</t>
  </si>
  <si>
    <t>Total 1600 · Fixed Assets</t>
  </si>
  <si>
    <t>1700 · Accumulated Depreciation</t>
  </si>
  <si>
    <t>1701 · Accumulated Amortization</t>
  </si>
  <si>
    <t>Total Fixed Assets</t>
  </si>
  <si>
    <t>Other Assets</t>
  </si>
  <si>
    <t>1400-06 · Security Deposit for Ryobi Pres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</si>
  <si>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</si>
  <si>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</si>
  <si>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</si>
  <si>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</si>
  <si>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</si>
  <si>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</si>
  <si>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2000 · Accounts Payable</t>
  </si>
  <si>
    <t>2000-02 · AP - Live Marketing</t>
  </si>
  <si>
    <t>Total 2000 · Accounts Payable</t>
  </si>
  <si>
    <t>Total Accounts Payable</t>
  </si>
  <si>
    <t>Credit Cards</t>
  </si>
  <si>
    <t>2200 · Credit Cards</t>
  </si>
  <si>
    <t>2201 · CC - Amex Ex - Optima 32008</t>
  </si>
  <si>
    <t>2202 · CC - Amex Express Delta 75007</t>
  </si>
  <si>
    <t>2203 · Visa - Best Buy Citibank 2703</t>
  </si>
  <si>
    <t>2204 · Chase Bank - VISA Bonvoy 6125</t>
  </si>
  <si>
    <t>2205 · CC - AMEX Platinum - 22003</t>
  </si>
  <si>
    <t>2206 · CC - Amex Lowes 01005</t>
  </si>
  <si>
    <t>2207 · CC - PayPal Credit</t>
  </si>
  <si>
    <t>2200 · Credit Cards - Other</t>
  </si>
  <si>
    <t>Total 2200 · Credit Cards</t>
  </si>
  <si>
    <t>Total Credit Cards</t>
  </si>
  <si>
    <t>Other Current Liabilities</t>
  </si>
  <si>
    <t>2100 · Lines of Credit</t>
  </si>
  <si>
    <t>2103 · LOC - INB Bank</t>
  </si>
  <si>
    <t>Total 2100 · Lines of Credit</t>
  </si>
  <si>
    <t>2300 · Due To 7174 Holdings</t>
  </si>
  <si>
    <t>2500 · Payroll Liabilities</t>
  </si>
  <si>
    <t>2501 · Payroll Taxes Accrued</t>
  </si>
  <si>
    <t>2506 · Other Payroll Witholdings</t>
  </si>
  <si>
    <t>2507 · HRS/FL Disbursement Support</t>
  </si>
  <si>
    <t>2509 · Payroll Clearing Account</t>
  </si>
  <si>
    <t>2500 · Payroll Liabilities - Other</t>
  </si>
  <si>
    <t>Total 2500 · Payroll Liabilities</t>
  </si>
  <si>
    <t>2520 · Other Current Liabilities</t>
  </si>
  <si>
    <t>2521 · Customer Deposits</t>
  </si>
  <si>
    <t>2520 · Other Current Liabilities - Other</t>
  </si>
  <si>
    <t>Total 2520 · Other Current Liabilities</t>
  </si>
  <si>
    <t>2545 · Tax Liabilities</t>
  </si>
  <si>
    <t>2550 · Sales Tax Payable</t>
  </si>
  <si>
    <t>2560 · Federal Income Tax Payable</t>
  </si>
  <si>
    <t>Total 2545 · Tax Liabilities</t>
  </si>
  <si>
    <t>Total Other Current Liabilities</t>
  </si>
  <si>
    <t>Total Current Liabilities</t>
  </si>
  <si>
    <t>Long Term Liabilities</t>
  </si>
  <si>
    <t>2700 · Long Term Liabilities</t>
  </si>
  <si>
    <t>2600 · Notes Payable</t>
  </si>
  <si>
    <t>2611 · Note - EIDL COVID 19</t>
  </si>
  <si>
    <t>2615 · Note IFSC -  Ryobi  Press</t>
  </si>
  <si>
    <t>Total 2600 · Notes Payable</t>
  </si>
  <si>
    <t>Total 2700 · Long Term Liabilities</t>
  </si>
  <si>
    <t>Total Long Term Liabilities</t>
  </si>
  <si>
    <t>Total Liabilities</t>
  </si>
  <si>
    <t>Equity</t>
  </si>
  <si>
    <t>3020 · Live Marketing - Partner Equity</t>
  </si>
  <si>
    <t>3021 · LM Partner 1 Equity - JDR</t>
  </si>
  <si>
    <t>3022 · LM Partner 2 Equity - MFS</t>
  </si>
  <si>
    <t>3040 · LM Partner 1 Draws - JDR</t>
  </si>
  <si>
    <t>3041 · LM Partner 2 Draws - MFS</t>
  </si>
  <si>
    <t>Total 3020 · Live Marketing - Partner Equity</t>
  </si>
  <si>
    <t>3030 · Dividends Paid</t>
  </si>
  <si>
    <t>3200 · Retained Earnings</t>
  </si>
  <si>
    <t>Net Income</t>
  </si>
  <si>
    <t>Total Equity</t>
  </si>
  <si>
    <t>TOTAL LIABILITIES &amp; EQUITY</t>
  </si>
  <si>
    <t>Total 2550 · Sales Tax Payable</t>
  </si>
  <si>
    <t>2550 · Sales Tax Payable - Other</t>
  </si>
  <si>
    <t>2552 · Sales Tax Payable Prior Liabili</t>
  </si>
  <si>
    <t>12000 · Undeposited Funds</t>
  </si>
  <si>
    <t>Dec 31, 24</t>
  </si>
  <si>
    <t>Net Other Income</t>
  </si>
  <si>
    <t>Total Other Expense</t>
  </si>
  <si>
    <t>6400-10 · Ask My Accountant</t>
  </si>
  <si>
    <t>6400-02 · Depreciation Expense</t>
  </si>
  <si>
    <t>6400-01 · Amoritization Expense</t>
  </si>
  <si>
    <t>Other Expense</t>
  </si>
  <si>
    <t>Total Other Income</t>
  </si>
  <si>
    <t>Total 6300 · Other Income</t>
  </si>
  <si>
    <t>6300-02 · Intrest Income</t>
  </si>
  <si>
    <t>6300-01 · Recycling Income</t>
  </si>
  <si>
    <t>6300 · Other Income</t>
  </si>
  <si>
    <t>Other Income</t>
  </si>
  <si>
    <t>Other Income/Expense</t>
  </si>
  <si>
    <t>Net Ordinary Income</t>
  </si>
  <si>
    <t>Total Expense</t>
  </si>
  <si>
    <t>Total 6400 · Other Admin Expenses</t>
  </si>
  <si>
    <t>5301 · Moving Expenses</t>
  </si>
  <si>
    <t>6400 · Other Admin Expenses</t>
  </si>
  <si>
    <t>Total 6200 · Selling Expenses</t>
  </si>
  <si>
    <t>6200 · Selling Expenses - Other</t>
  </si>
  <si>
    <t>6200-21 · Recruitment Expense</t>
  </si>
  <si>
    <t>6200-18 · Bad Debt Expense</t>
  </si>
  <si>
    <t>6200-17 · Insurance - Auto Exepense Sales</t>
  </si>
  <si>
    <t>6200-16 · Mail &amp; Postage - Selling Ex</t>
  </si>
  <si>
    <t>Total 6200-10 · Sales Payroll</t>
  </si>
  <si>
    <t>6200-20 · Contractor Sales (1099)</t>
  </si>
  <si>
    <t>6200-14 · Bonus Expense - Sales</t>
  </si>
  <si>
    <t>6200-13 · Commissions</t>
  </si>
  <si>
    <t>6200-12 · Salary - Customer Service Rep</t>
  </si>
  <si>
    <t>6200-11 · Salary - Sales Executive</t>
  </si>
  <si>
    <t>6200-10 · Sales Payroll</t>
  </si>
  <si>
    <t>6200-09 · Auto Expense - Sales</t>
  </si>
  <si>
    <t>6200-08 · Trade Show Expense</t>
  </si>
  <si>
    <t>Total 6200-07 · Meals &amp; Entertainment</t>
  </si>
  <si>
    <t>6200-07 · Meals &amp; Entertainment - Other</t>
  </si>
  <si>
    <t>6200-25 · Meals - Teams and Employee Meet</t>
  </si>
  <si>
    <t>6200-07 · Meals &amp; Entertainment</t>
  </si>
  <si>
    <t>6200-06 · Travel &amp; Lodging Expense</t>
  </si>
  <si>
    <t>6200-05 · Client Development</t>
  </si>
  <si>
    <t>6200-04 · Dues &amp; Subscriptions</t>
  </si>
  <si>
    <t>6200-02 · Computer Expense - Sales</t>
  </si>
  <si>
    <t>6200-01 · Cellular &amp; Telephone Expense</t>
  </si>
  <si>
    <t>6000-13 · Advertising &amp; Marketing</t>
  </si>
  <si>
    <t>6200 · Selling Expenses</t>
  </si>
  <si>
    <t>Total 6000 · Administrative Expense</t>
  </si>
  <si>
    <t>6400-08 · Contributions &amp; Donations</t>
  </si>
  <si>
    <t>Total 6010 · Bank, Interest and Finance Fees</t>
  </si>
  <si>
    <t>6010 · Bank, Interest and Finance Fees - Other</t>
  </si>
  <si>
    <t>6400-11 · EIDL Loan Interest</t>
  </si>
  <si>
    <t>6400-09 · Penalties &amp; Interest</t>
  </si>
  <si>
    <t>6400-07 · LOC Interest Exepnse</t>
  </si>
  <si>
    <t>6400-06 · Interest &amp; Finance Charges</t>
  </si>
  <si>
    <t>6400-05 · Interest Expense</t>
  </si>
  <si>
    <t>6400-04 · CC Processing Merch Fees</t>
  </si>
  <si>
    <t>6400-03 · Bank Service Charges</t>
  </si>
  <si>
    <t>6010 · Bank, Interest and Finance Fees</t>
  </si>
  <si>
    <t>6000-26 · Taxes - Business Other</t>
  </si>
  <si>
    <t>6000-25 · Rent Expense</t>
  </si>
  <si>
    <t>6000-24 · Internt/FIOS/VOIP/DSL Data Ser</t>
  </si>
  <si>
    <t>Total 6000-20 · Wages &amp; Earnings</t>
  </si>
  <si>
    <t>6000-23 · Bonus Exepnse - Administration</t>
  </si>
  <si>
    <t>6000-22 · Officer Admin Wages</t>
  </si>
  <si>
    <t>6000-21 · Administrative Wages</t>
  </si>
  <si>
    <t>Total 5200-01 · Factory Production Payroll</t>
  </si>
  <si>
    <t>5200-06 · Bonus Expense - Factory</t>
  </si>
  <si>
    <t>5200-05 · Prod Wages - Mailing</t>
  </si>
  <si>
    <t>5200-04 · Prod Wages - Program &amp; Graphics</t>
  </si>
  <si>
    <t>5200-03 · Prod Wages - Bindery &amp; Shipping</t>
  </si>
  <si>
    <t>5200-02 · Prod Wages - Pressroom</t>
  </si>
  <si>
    <t>5200-01 · Factory Production Payroll</t>
  </si>
  <si>
    <t>6000-20 · Wages &amp; Earnings</t>
  </si>
  <si>
    <t>Total 6000-19 · Payroll Expenses</t>
  </si>
  <si>
    <t>6000-19 · Payroll Expenses - Other</t>
  </si>
  <si>
    <t>Total 6001 · Employee Benefits</t>
  </si>
  <si>
    <t>6002 · Health &amp; Dental Insurance</t>
  </si>
  <si>
    <t>6000-30 · Employee Med Reimburse</t>
  </si>
  <si>
    <t>6001 · Employee Benefits</t>
  </si>
  <si>
    <t>6000-31 · Payroll Fees</t>
  </si>
  <si>
    <t>6000-29 · Employer Payroll Taxes</t>
  </si>
  <si>
    <t>6000-10 · Ins - Workers Compensation</t>
  </si>
  <si>
    <t>6000-19 · Payroll Expenses</t>
  </si>
  <si>
    <t>Total 6000-15 · Professional Fees</t>
  </si>
  <si>
    <t>6000-18 · Prof Fees - Consultant</t>
  </si>
  <si>
    <t>6000-17 · Prof Fees - Legal</t>
  </si>
  <si>
    <t>6000-16 · Prof Fees - Accounting</t>
  </si>
  <si>
    <t>6000-15 · Professional Fees</t>
  </si>
  <si>
    <t>Total 6000-06 · Insurance Expense</t>
  </si>
  <si>
    <t>6000-12 · Health &amp; Dental Ins - Officer</t>
  </si>
  <si>
    <t>6000-11 · Life Insurance - Officer &amp; Key</t>
  </si>
  <si>
    <t>6000-09 · Ins - Cyber Liability</t>
  </si>
  <si>
    <t>6000-08 · Ins - Automobile &amp; Trucks</t>
  </si>
  <si>
    <t>6000-07 · Ins - Property &amp; Liability</t>
  </si>
  <si>
    <t>6000-06 · Insurance Expense</t>
  </si>
  <si>
    <t>6000-05 · Software Expense</t>
  </si>
  <si>
    <t>6000-04 · Office Cleaning &amp; Maintainence</t>
  </si>
  <si>
    <t>6000-03 · Seminars &amp; Training</t>
  </si>
  <si>
    <t>6000-02 · Computer Expenses</t>
  </si>
  <si>
    <t>6000-01 · Office Supplies</t>
  </si>
  <si>
    <t>6000 · Administrative Expense</t>
  </si>
  <si>
    <t>Total 5300 · Factory Expense</t>
  </si>
  <si>
    <t>5300 · Factory Expense - Other</t>
  </si>
  <si>
    <t>Total 5400 · Repair &amp; Maintainence</t>
  </si>
  <si>
    <t>5400 · Repair &amp; Maintainence - Other</t>
  </si>
  <si>
    <t>5400-05 · R&amp;M - Warehouse &amp; Bldg Maint</t>
  </si>
  <si>
    <t>5400-04 · R&amp;M - Graphics &amp; Prepress</t>
  </si>
  <si>
    <t>5400-03 · R&amp;M - Mailing &amp; Digital</t>
  </si>
  <si>
    <t>5400-02 · R&amp;M - Bindery &amp; Shipping</t>
  </si>
  <si>
    <t>5400-01 · R&amp;M - Pressroom</t>
  </si>
  <si>
    <t>5400 · Repair &amp; Maintainence</t>
  </si>
  <si>
    <t>5350 · Contract Labor</t>
  </si>
  <si>
    <t>5300-10 · Gas Expense</t>
  </si>
  <si>
    <t>5300-09 · Automobile Expense - Trucks</t>
  </si>
  <si>
    <t>5300-08 · Warehouse Supplies &amp; Maintain</t>
  </si>
  <si>
    <t>Total 5300-04 · Utilities</t>
  </si>
  <si>
    <t>5300-04 · Utilities - Other</t>
  </si>
  <si>
    <t>5300-07 · Waste Exepnse</t>
  </si>
  <si>
    <t>5300-06 · Electric Expense</t>
  </si>
  <si>
    <t>5300-05 · Water Expense</t>
  </si>
  <si>
    <t>5300-04 · Utilities</t>
  </si>
  <si>
    <t>5300-03 · Equipment Rental</t>
  </si>
  <si>
    <t>5300 · Factory Expense</t>
  </si>
  <si>
    <t>Expense</t>
  </si>
  <si>
    <t>Gross Profit</t>
  </si>
  <si>
    <t>Total COGS</t>
  </si>
  <si>
    <t>Total 5000 · Cost of Goods Sold</t>
  </si>
  <si>
    <t>Total 5060 · CGS - Other</t>
  </si>
  <si>
    <t>5060 · CGS - Other - Other</t>
  </si>
  <si>
    <t>5200-07 · Cloud Services &amp; Platforms</t>
  </si>
  <si>
    <t>5020 · Production Post - Paid</t>
  </si>
  <si>
    <t>5060 · CGS - Other</t>
  </si>
  <si>
    <t>Total 5030 · CGS - Outside Servics</t>
  </si>
  <si>
    <t>5030 · CGS - Outside Servics - Other</t>
  </si>
  <si>
    <t>5030-10 · CGS - Promo &amp; Direct Buyout</t>
  </si>
  <si>
    <t>5030-09 · Email Pipelines</t>
  </si>
  <si>
    <t>5030-08 · Subscriptions for SAAS Services</t>
  </si>
  <si>
    <t>5030-07 · Data &amp; List Purchases</t>
  </si>
  <si>
    <t>5030-06 · Programming Services</t>
  </si>
  <si>
    <t>5030-03 · Bindery &amp; Finishing Services</t>
  </si>
  <si>
    <t>5030-02 · Printing &amp; Digital Services</t>
  </si>
  <si>
    <t>5030-01 · Graphics &amp; Marketing</t>
  </si>
  <si>
    <t>5030 · CGS - Outside Servics</t>
  </si>
  <si>
    <t>Total 5000-01 · CGS - Chargeable Materials</t>
  </si>
  <si>
    <t>5000-09 · CGS - Freight Expense</t>
  </si>
  <si>
    <t>5000-08 · Graphics &amp; Prepress</t>
  </si>
  <si>
    <t>5000-07 · Paper &amp; Stock</t>
  </si>
  <si>
    <t>5000-06 · Digital Clicks</t>
  </si>
  <si>
    <t>5000-04 · Mailing Supplies &amp; Software</t>
  </si>
  <si>
    <t>5000-03 · Bindery &amp; Shipping Supplies</t>
  </si>
  <si>
    <t>5000-02 · Digital &amp; Pressroom Supplies</t>
  </si>
  <si>
    <t>5000-01 · CGS - Chargeable Materials</t>
  </si>
  <si>
    <t>5000 · Cost of Goods Sold</t>
  </si>
  <si>
    <t>Cost of Goods Sold</t>
  </si>
  <si>
    <t>Total Income</t>
  </si>
  <si>
    <t>Total 4000 · Gross Sales</t>
  </si>
  <si>
    <t>Total 4000-99 · Production Postage - Income</t>
  </si>
  <si>
    <t>4000-99 · Production Postage - Income - Other</t>
  </si>
  <si>
    <t>4000-98 · Postage Credits</t>
  </si>
  <si>
    <t>4000-99 · Production Postage - Income</t>
  </si>
  <si>
    <t>Total 4000-17 · Sales Discounts</t>
  </si>
  <si>
    <t>4000-17 · Sales Discounts - Other</t>
  </si>
  <si>
    <t>4000-19 · Steps Discount</t>
  </si>
  <si>
    <t>4000-17 · Sales Discounts</t>
  </si>
  <si>
    <t>4000-09 · Finishing &amp; Bindery Services</t>
  </si>
  <si>
    <t>4000-08 · Seminar Sales &amp; Ancillary Svcs</t>
  </si>
  <si>
    <t>4000-06 · (e) Business Platforms</t>
  </si>
  <si>
    <t>4000-05 · Shipping/Delivery/Fulfillment</t>
  </si>
  <si>
    <t>4000-04 · Marketing &amp; Direct Mail</t>
  </si>
  <si>
    <t>4000-03 · SAAS Services</t>
  </si>
  <si>
    <t>4000-02 · Data &amp; Mailing Services</t>
  </si>
  <si>
    <t>4000-01 · Programming &amp; Graphics</t>
  </si>
  <si>
    <t>4000 · Gross Sales</t>
  </si>
  <si>
    <t>Income</t>
  </si>
  <si>
    <t>Ordinary Income/Expense</t>
  </si>
  <si>
    <t>Jan - Dec 25</t>
  </si>
  <si>
    <t>6300 · Other Income - Other</t>
  </si>
  <si>
    <t>66900 · Reconciliation Discrepancies</t>
  </si>
  <si>
    <t>6400 · Other Admin Expenses - Other</t>
  </si>
  <si>
    <t>6200-10 · Sales Payroll - Other</t>
  </si>
  <si>
    <t>6200-03 · Courier &amp; Shipping Expense</t>
  </si>
  <si>
    <t>6900 · Reconciliation Discrepencies</t>
  </si>
  <si>
    <t>6000-06 · Insurance Expense - Other</t>
  </si>
  <si>
    <t>5390 · Taxes - Paid on Purchases</t>
  </si>
  <si>
    <t>5200 · Factory Production Expense</t>
  </si>
  <si>
    <t>5030-05 · Social Media Expense</t>
  </si>
  <si>
    <t>5030-04 · Mailing Services</t>
  </si>
  <si>
    <t>5000-01 · CGS - Chargeable Materials - Other</t>
  </si>
  <si>
    <t>4000 · Gross Sales - Other</t>
  </si>
  <si>
    <t>Jan - Dec 24</t>
  </si>
  <si>
    <t>TOTAL</t>
  </si>
  <si>
    <t>3142 · Additional Paid In Capital</t>
  </si>
  <si>
    <t>3050 · LM Partner Wages</t>
  </si>
  <si>
    <t>3010 · Capital Stock</t>
  </si>
  <si>
    <t>3000 · Opening Balance Equity</t>
  </si>
  <si>
    <t>2790 · Current Portion L/T Debt</t>
  </si>
  <si>
    <t>2703 · CONTRA ST Portion Lease Pay</t>
  </si>
  <si>
    <t>2701 · Due to Shareholders</t>
  </si>
  <si>
    <t>2680 · Note - MLI Aquisition</t>
  </si>
  <si>
    <t>2614 · Diamler Truck Financial</t>
  </si>
  <si>
    <t>2613 · Note - Kalamata Capital Group</t>
  </si>
  <si>
    <t>2612 · MLI  Ascentium Settlement</t>
  </si>
  <si>
    <t>2610 · Note - Gulfshore SBA</t>
  </si>
  <si>
    <t>2609 · Note - Chase</t>
  </si>
  <si>
    <t>2608 · Note - Axis Capital - CTP</t>
  </si>
  <si>
    <t>2607 · Note - Axis Cap - Indigo Press</t>
  </si>
  <si>
    <t>2606 · Note - Axis Capital MM Sticher</t>
  </si>
  <si>
    <t>2605 · Note - CTP Punch Trolly Ca</t>
  </si>
  <si>
    <t>2604 · Note - Acentium XPIE Software</t>
  </si>
  <si>
    <t>2603 · Note - Aegis Term Note (NFS Fin</t>
  </si>
  <si>
    <t>2602 · Note - Mart Fin - CTP Freepress</t>
  </si>
  <si>
    <t>2601 · Note - PPP COVID-19 FUNDS</t>
  </si>
  <si>
    <t>2581 · Property Tax Payable</t>
  </si>
  <si>
    <t>2580 · Deferred Tax Liability</t>
  </si>
  <si>
    <t>2555 · State Income Tax Payable</t>
  </si>
  <si>
    <t>2551 · Sales Tax (STIP Agreement)</t>
  </si>
  <si>
    <t>2595 · Inventory Offset Account</t>
  </si>
  <si>
    <t>2591 · Accrued Expenses</t>
  </si>
  <si>
    <t>2590 · Suspense</t>
  </si>
  <si>
    <t>2540 · Payroll Payable to MLI</t>
  </si>
  <si>
    <t>2535 · LM Systems Investment Cost</t>
  </si>
  <si>
    <t>2531 · Loans due to LandTrust</t>
  </si>
  <si>
    <t>2530 · Loans Due to MLI</t>
  </si>
  <si>
    <t>2510 · Kansas Payroll Tax Liability</t>
  </si>
  <si>
    <t>2508 · COVID19 ER SS Deferral</t>
  </si>
  <si>
    <t>2505 · SUTA Tax - Payable</t>
  </si>
  <si>
    <t>2504 · FUTA Tax - Payable</t>
  </si>
  <si>
    <t>2503 · Federal Withholding - Payable</t>
  </si>
  <si>
    <t>2502 · FICA/Medicare Tax - Payable</t>
  </si>
  <si>
    <t>2102 · LOC - Bluevine</t>
  </si>
  <si>
    <t>2101 · LOC - Aegis Business Credit</t>
  </si>
  <si>
    <t>1600-08 · Prepress Graphics Library</t>
  </si>
  <si>
    <t>1600-06 · Computer Software</t>
  </si>
  <si>
    <t>1600-02 · Machinery &amp; Equipment</t>
  </si>
  <si>
    <t>1500-02 · Equipment</t>
  </si>
  <si>
    <t>1500-08 · LM - Trans for Payroll</t>
  </si>
  <si>
    <t>1400-05 · Live Marketing System Setup</t>
  </si>
  <si>
    <t>1300-03 · Department Supplies</t>
  </si>
  <si>
    <t>1204 · Cash in transit - LOC BB&amp;T</t>
  </si>
  <si>
    <t>1207 · Cash Clearing - PPP</t>
  </si>
  <si>
    <t>1205 · Allowance for Account Credit</t>
  </si>
  <si>
    <t>1203 · Allowance for Doubtful Accounts</t>
  </si>
  <si>
    <t>1202 · Cash Clearing</t>
  </si>
  <si>
    <t>1200-16 · Related Party Loan Rec (Payable</t>
  </si>
  <si>
    <t>1200-15 · Due from Saavedra Jr.</t>
  </si>
  <si>
    <t>1200-14 · Due from Del Rio</t>
  </si>
  <si>
    <t>1200-13 · Due from Janice Saavedra</t>
  </si>
  <si>
    <t>1200-12 · Due from Martin Saavedra</t>
  </si>
  <si>
    <t>1200-04 · Account for Credit Transfer</t>
  </si>
  <si>
    <t>1999-99 · Cash - Offset for MLI Accounts</t>
  </si>
  <si>
    <t>1000-21 · INB - LM Pay Acct 8087</t>
  </si>
  <si>
    <t>1000-17 · Bank of Tampa - Payroll 0003</t>
  </si>
  <si>
    <t>1000-06 · FHB - LM Payroll - Acct 7822</t>
  </si>
  <si>
    <t>1000-04 · FHB - LM Op(Old)  #7764</t>
  </si>
  <si>
    <t>1000-03 · FHB - MLI Payroll</t>
  </si>
  <si>
    <t>1000-01 · FHB - MLI Operating</t>
  </si>
  <si>
    <t>Credit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</si>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</sst>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Border="1"/>
    <xf numFmtId="164" fontId="1" fillId="0" borderId="3" xfId="0" applyNumberFormat="1" applyFont="1" applyBorder="1"/>
    <xf numFmtId="164" fontId="1" fillId="0" borderId="2" xfId="0" applyNumberFormat="1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49" fontId="1" fillId="0" borderId="6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Continuous"/>
    </xf>
    <xf numFmtId="49" fontId="0" fillId="0" borderId="1" xfId="0" applyNumberFormat="1" applyBorder="1" applyAlignment="1">
      <alignment horizontal="centerContinuous"/>
    </xf>
    <xf numFmtId="49" fontId="1" fillId="0" borderId="0" xfId="0" applyNumberFormat="1" applyFont="1" applyAlignment="1">
      <alignment horizontal="centerContinuous"/>
    </xf>
  </cellXfs>
  <cellStyles count="2">
    <cellStyle name="Normal" xfId="0" builtinId="0"/>
    <cellStyle name="Normal 2" xfId="1" xr:uid="{87236D17-59C6-42C9-BE29-1FBE119186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3073" name="FILTER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C3E7D848-254D-4BDA-8C22-28E519C18B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3074" name="HEADER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D8872218-4061-44C6-AE0B-DF2689D270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5121" name="FILTER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3A768549-3ACE-418C-8F4F-283E61E676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5122" name="HEADER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D1F4C031-0E6D-40E8-84A8-42703838B0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4097" name="FIL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BD9EBEC1-0525-4105-9F40-28CF2F6F8A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4098" name="HEADER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ECFB1711-9F44-400A-B73E-B14657416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BE610DB-C3F8-CE14-B7F2-F798C6192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B69AFD4-CEE5-8221-A970-EAD6EEE83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6145" name="FILTER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E3B95F3F-3289-41A6-A74D-37B30F748B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6146" name="HEADER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8D3A8BEB-C0B6-431B-BFA8-5ADB73E333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7169" name="FILTER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C0461F05-8B8C-4853-8BDC-998B84161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0</xdr:row>
          <xdr:rowOff>0</xdr:rowOff>
        </xdr:from>
        <xdr:ext cx="914400" cy="228600"/>
        <xdr:sp macro="" textlink="">
          <xdr:nvSpPr>
            <xdr:cNvPr id="7170" name="HEADER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773158D9-C07A-4E7F-B6F8-96E446C69E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.xml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.xml"/><Relationship Id="rId5" Type="http://schemas.openxmlformats.org/officeDocument/2006/relationships/image" Target="../media/image5.emf"/><Relationship Id="rId4" Type="http://schemas.openxmlformats.org/officeDocument/2006/relationships/control" Target="../activeX/activeX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8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.xml"/><Relationship Id="rId5" Type="http://schemas.openxmlformats.org/officeDocument/2006/relationships/image" Target="../media/image7.emf"/><Relationship Id="rId4" Type="http://schemas.openxmlformats.org/officeDocument/2006/relationships/control" Target="../activeX/activeX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0.xml"/><Relationship Id="rId5" Type="http://schemas.openxmlformats.org/officeDocument/2006/relationships/image" Target="../media/image9.emf"/><Relationship Id="rId4" Type="http://schemas.openxmlformats.org/officeDocument/2006/relationships/control" Target="../activeX/activeX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2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2.xml"/><Relationship Id="rId5" Type="http://schemas.openxmlformats.org/officeDocument/2006/relationships/image" Target="../media/image11.emf"/><Relationship Id="rId4" Type="http://schemas.openxmlformats.org/officeDocument/2006/relationships/control" Target="../activeX/activeX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A7A4-AABC-4689-85F0-6112BDCD6DF6}">
  <sheetPr codeName="Sheet2"/>
  <dimension ref="A1:H123"/>
  <sheetViews>
    <sheetView workbookViewId="0">
      <pane xSplit="7" ySplit="1" topLeftCell="H2" activePane="bottomRight" state="frozenSplit"/>
      <selection pane="topRight" activeCell="H1" sqref="H1"/>
      <selection pane="bottomLeft" activeCell="A2" sqref="A2"/>
      <selection pane="bottomRight" activeCell="I12" sqref="I12"/>
    </sheetView>
  </sheetViews>
  <sheetFormatPr defaultRowHeight="14.4" x14ac:dyDescent="0.3"/>
  <cols>
    <col min="1" max="6" width="3" style="8" customWidth="1"/>
    <col min="7" max="7" width="29.21875" style="8" customWidth="1"/>
    <col min="8" max="8" width="11.33203125" bestFit="1" customWidth="1"/>
  </cols>
  <sheetData>
    <row r="1" spans="1:8" s="11" customFormat="1" ht="15" thickBot="1" x14ac:dyDescent="0.35">
      <c r="A1" s="9"/>
      <c r="B1" s="9"/>
      <c r="C1" s="9"/>
      <c r="D1" s="9"/>
      <c r="E1" s="9"/>
      <c r="F1" s="9"/>
      <c r="G1" s="9"/>
      <c r="H1" s="10" t="s">
        <v>128</v>
      </c>
    </row>
    <row r="2" spans="1:8" ht="15" thickTop="1" x14ac:dyDescent="0.3">
      <c r="A2" s="1" t="s">
        <v>1</v>
      </c>
      <c r="B2" s="1"/>
      <c r="C2" s="1"/>
      <c r="D2" s="1"/>
      <c r="E2" s="1"/>
      <c r="F2" s="1"/>
      <c r="G2" s="1"/>
      <c r="H2" s="2"/>
    </row>
    <row r="3" spans="1:8" x14ac:dyDescent="0.3">
      <c r="A3" s="1"/>
      <c r="B3" s="1" t="s">
        <v>2</v>
      </c>
      <c r="C3" s="1"/>
      <c r="D3" s="1"/>
      <c r="E3" s="1"/>
      <c r="F3" s="1"/>
      <c r="G3" s="1"/>
      <c r="H3" s="2"/>
    </row>
    <row r="4" spans="1:8" x14ac:dyDescent="0.3">
      <c r="A4" s="1"/>
      <c r="B4" s="1"/>
      <c r="C4" s="1" t="s">
        <v>3</v>
      </c>
      <c r="D4" s="1"/>
      <c r="E4" s="1"/>
      <c r="F4" s="1"/>
      <c r="G4" s="1"/>
      <c r="H4" s="2"/>
    </row>
    <row r="5" spans="1:8" x14ac:dyDescent="0.3">
      <c r="A5" s="1"/>
      <c r="B5" s="1"/>
      <c r="C5" s="1"/>
      <c r="D5" s="1" t="s">
        <v>4</v>
      </c>
      <c r="E5" s="1"/>
      <c r="F5" s="1"/>
      <c r="G5" s="1"/>
      <c r="H5" s="2"/>
    </row>
    <row r="6" spans="1:8" x14ac:dyDescent="0.3">
      <c r="A6" s="1"/>
      <c r="B6" s="1"/>
      <c r="C6" s="1"/>
      <c r="D6" s="1"/>
      <c r="E6" s="1" t="s">
        <v>5</v>
      </c>
      <c r="F6" s="1"/>
      <c r="G6" s="1"/>
      <c r="H6" s="2">
        <v>20.16</v>
      </c>
    </row>
    <row r="7" spans="1:8" x14ac:dyDescent="0.3">
      <c r="A7" s="1"/>
      <c r="B7" s="1"/>
      <c r="C7" s="1"/>
      <c r="D7" s="1"/>
      <c r="E7" s="1" t="s">
        <v>6</v>
      </c>
      <c r="F7" s="1"/>
      <c r="G7" s="1"/>
      <c r="H7" s="2">
        <v>2.38</v>
      </c>
    </row>
    <row r="8" spans="1:8" x14ac:dyDescent="0.3">
      <c r="A8" s="1"/>
      <c r="B8" s="1"/>
      <c r="C8" s="1"/>
      <c r="D8" s="1"/>
      <c r="E8" s="1" t="s">
        <v>7</v>
      </c>
      <c r="F8" s="1"/>
      <c r="G8" s="1"/>
      <c r="H8" s="2">
        <v>745.33</v>
      </c>
    </row>
    <row r="9" spans="1:8" x14ac:dyDescent="0.3">
      <c r="A9" s="1"/>
      <c r="B9" s="1"/>
      <c r="C9" s="1"/>
      <c r="D9" s="1"/>
      <c r="E9" s="1" t="s">
        <v>8</v>
      </c>
      <c r="F9" s="1"/>
      <c r="G9" s="1"/>
      <c r="H9" s="2">
        <v>-6656.68</v>
      </c>
    </row>
    <row r="10" spans="1:8" x14ac:dyDescent="0.3">
      <c r="A10" s="1"/>
      <c r="B10" s="1"/>
      <c r="C10" s="1"/>
      <c r="D10" s="1"/>
      <c r="E10" s="1" t="s">
        <v>9</v>
      </c>
      <c r="F10" s="1"/>
      <c r="G10" s="1"/>
      <c r="H10" s="2">
        <v>382.23</v>
      </c>
    </row>
    <row r="11" spans="1:8" x14ac:dyDescent="0.3">
      <c r="A11" s="1"/>
      <c r="B11" s="1"/>
      <c r="C11" s="1"/>
      <c r="D11" s="1"/>
      <c r="E11" s="1" t="s">
        <v>10</v>
      </c>
      <c r="F11" s="1"/>
      <c r="G11" s="1"/>
      <c r="H11" s="2">
        <v>-1428.8</v>
      </c>
    </row>
    <row r="12" spans="1:8" x14ac:dyDescent="0.3">
      <c r="A12" s="1"/>
      <c r="B12" s="1"/>
      <c r="C12" s="1"/>
      <c r="D12" s="1"/>
      <c r="E12" s="1" t="s">
        <v>11</v>
      </c>
      <c r="F12" s="1"/>
      <c r="G12" s="1"/>
      <c r="H12" s="2">
        <v>3068.39</v>
      </c>
    </row>
    <row r="13" spans="1:8" x14ac:dyDescent="0.3">
      <c r="A13" s="1"/>
      <c r="B13" s="1"/>
      <c r="C13" s="1"/>
      <c r="D13" s="1"/>
      <c r="E13" s="1" t="s">
        <v>12</v>
      </c>
      <c r="F13" s="1"/>
      <c r="G13" s="1"/>
      <c r="H13" s="2">
        <v>30248.46</v>
      </c>
    </row>
    <row r="14" spans="1:8" ht="15" thickBot="1" x14ac:dyDescent="0.35">
      <c r="A14" s="1"/>
      <c r="B14" s="1"/>
      <c r="C14" s="1"/>
      <c r="D14" s="1"/>
      <c r="E14" s="1" t="s">
        <v>13</v>
      </c>
      <c r="F14" s="1"/>
      <c r="G14" s="1"/>
      <c r="H14" s="2">
        <v>-20746.64</v>
      </c>
    </row>
    <row r="15" spans="1:8" ht="15" thickBot="1" x14ac:dyDescent="0.35">
      <c r="A15" s="1"/>
      <c r="B15" s="1"/>
      <c r="C15" s="1"/>
      <c r="D15" s="1" t="s">
        <v>14</v>
      </c>
      <c r="E15" s="1"/>
      <c r="F15" s="1"/>
      <c r="G15" s="1"/>
      <c r="H15" s="4">
        <f>ROUND(SUM(H5:H14),5)</f>
        <v>5634.83</v>
      </c>
    </row>
    <row r="16" spans="1:8" x14ac:dyDescent="0.3">
      <c r="A16" s="1"/>
      <c r="B16" s="1"/>
      <c r="C16" s="1" t="s">
        <v>15</v>
      </c>
      <c r="D16" s="1"/>
      <c r="E16" s="1"/>
      <c r="F16" s="1"/>
      <c r="G16" s="1"/>
      <c r="H16" s="2">
        <f>ROUND(H4+H15,5)</f>
        <v>5634.83</v>
      </c>
    </row>
    <row r="17" spans="1:8" x14ac:dyDescent="0.3">
      <c r="A17" s="1"/>
      <c r="B17" s="1"/>
      <c r="C17" s="1" t="s">
        <v>16</v>
      </c>
      <c r="D17" s="1"/>
      <c r="E17" s="1"/>
      <c r="F17" s="1"/>
      <c r="G17" s="1"/>
      <c r="H17" s="2"/>
    </row>
    <row r="18" spans="1:8" x14ac:dyDescent="0.3">
      <c r="A18" s="1"/>
      <c r="B18" s="1"/>
      <c r="C18" s="1"/>
      <c r="D18" s="1" t="s">
        <v>17</v>
      </c>
      <c r="E18" s="1"/>
      <c r="F18" s="1"/>
      <c r="G18" s="1"/>
      <c r="H18" s="2"/>
    </row>
    <row r="19" spans="1:8" ht="15" thickBot="1" x14ac:dyDescent="0.35">
      <c r="A19" s="1"/>
      <c r="B19" s="1"/>
      <c r="C19" s="1"/>
      <c r="D19" s="1"/>
      <c r="E19" s="1" t="s">
        <v>18</v>
      </c>
      <c r="F19" s="1"/>
      <c r="G19" s="1"/>
      <c r="H19" s="2">
        <v>367285.8</v>
      </c>
    </row>
    <row r="20" spans="1:8" ht="15" thickBot="1" x14ac:dyDescent="0.35">
      <c r="A20" s="1"/>
      <c r="B20" s="1"/>
      <c r="C20" s="1"/>
      <c r="D20" s="1" t="s">
        <v>19</v>
      </c>
      <c r="E20" s="1"/>
      <c r="F20" s="1"/>
      <c r="G20" s="1"/>
      <c r="H20" s="4">
        <f>ROUND(SUM(H18:H19),5)</f>
        <v>367285.8</v>
      </c>
    </row>
    <row r="21" spans="1:8" x14ac:dyDescent="0.3">
      <c r="A21" s="1"/>
      <c r="B21" s="1"/>
      <c r="C21" s="1" t="s">
        <v>20</v>
      </c>
      <c r="D21" s="1"/>
      <c r="E21" s="1"/>
      <c r="F21" s="1"/>
      <c r="G21" s="1"/>
      <c r="H21" s="2">
        <f>ROUND(H17+H20,5)</f>
        <v>367285.8</v>
      </c>
    </row>
    <row r="22" spans="1:8" x14ac:dyDescent="0.3">
      <c r="A22" s="1"/>
      <c r="B22" s="1"/>
      <c r="C22" s="1" t="s">
        <v>21</v>
      </c>
      <c r="D22" s="1"/>
      <c r="E22" s="1"/>
      <c r="F22" s="1"/>
      <c r="G22" s="1"/>
      <c r="H22" s="2"/>
    </row>
    <row r="23" spans="1:8" x14ac:dyDescent="0.3">
      <c r="A23" s="1"/>
      <c r="B23" s="1"/>
      <c r="C23" s="1"/>
      <c r="D23" s="1" t="s">
        <v>127</v>
      </c>
      <c r="E23" s="1"/>
      <c r="F23" s="1"/>
      <c r="G23" s="1"/>
      <c r="H23" s="2">
        <v>10415.6</v>
      </c>
    </row>
    <row r="24" spans="1:8" x14ac:dyDescent="0.3">
      <c r="A24" s="1"/>
      <c r="B24" s="1"/>
      <c r="C24" s="1"/>
      <c r="D24" s="1" t="s">
        <v>22</v>
      </c>
      <c r="E24" s="1"/>
      <c r="F24" s="1"/>
      <c r="G24" s="1"/>
      <c r="H24" s="2"/>
    </row>
    <row r="25" spans="1:8" x14ac:dyDescent="0.3">
      <c r="A25" s="1"/>
      <c r="B25" s="1"/>
      <c r="C25" s="1"/>
      <c r="D25" s="1"/>
      <c r="E25" s="1" t="s">
        <v>24</v>
      </c>
      <c r="F25" s="1"/>
      <c r="G25" s="1"/>
      <c r="H25" s="2">
        <v>61722.86</v>
      </c>
    </row>
    <row r="26" spans="1:8" x14ac:dyDescent="0.3">
      <c r="A26" s="1"/>
      <c r="B26" s="1"/>
      <c r="C26" s="1"/>
      <c r="D26" s="1"/>
      <c r="E26" s="1" t="s">
        <v>25</v>
      </c>
      <c r="F26" s="1"/>
      <c r="G26" s="1"/>
      <c r="H26" s="2">
        <v>-26231.05</v>
      </c>
    </row>
    <row r="27" spans="1:8" x14ac:dyDescent="0.3">
      <c r="A27" s="1"/>
      <c r="B27" s="1"/>
      <c r="C27" s="1"/>
      <c r="D27" s="1"/>
      <c r="E27" s="1" t="s">
        <v>26</v>
      </c>
      <c r="F27" s="1"/>
      <c r="G27" s="1"/>
      <c r="H27" s="2">
        <v>26289.09</v>
      </c>
    </row>
    <row r="28" spans="1:8" ht="15" thickBot="1" x14ac:dyDescent="0.35">
      <c r="A28" s="1"/>
      <c r="B28" s="1"/>
      <c r="C28" s="1"/>
      <c r="D28" s="1"/>
      <c r="E28" s="1" t="s">
        <v>27</v>
      </c>
      <c r="F28" s="1"/>
      <c r="G28" s="1"/>
      <c r="H28" s="5">
        <v>339300</v>
      </c>
    </row>
    <row r="29" spans="1:8" x14ac:dyDescent="0.3">
      <c r="A29" s="1"/>
      <c r="B29" s="1"/>
      <c r="C29" s="1"/>
      <c r="D29" s="1" t="s">
        <v>28</v>
      </c>
      <c r="E29" s="1"/>
      <c r="F29" s="1"/>
      <c r="G29" s="1"/>
      <c r="H29" s="2">
        <f>ROUND(SUM(H24:H28),5)</f>
        <v>401080.9</v>
      </c>
    </row>
    <row r="30" spans="1:8" x14ac:dyDescent="0.3">
      <c r="A30" s="1"/>
      <c r="B30" s="1"/>
      <c r="C30" s="1"/>
      <c r="D30" s="1" t="s">
        <v>29</v>
      </c>
      <c r="E30" s="1"/>
      <c r="F30" s="1"/>
      <c r="G30" s="1"/>
      <c r="H30" s="2"/>
    </row>
    <row r="31" spans="1:8" x14ac:dyDescent="0.3">
      <c r="A31" s="1"/>
      <c r="B31" s="1"/>
      <c r="C31" s="1"/>
      <c r="D31" s="1"/>
      <c r="E31" s="1" t="s">
        <v>30</v>
      </c>
      <c r="F31" s="1"/>
      <c r="G31" s="1"/>
      <c r="H31" s="2">
        <v>3197.73</v>
      </c>
    </row>
    <row r="32" spans="1:8" x14ac:dyDescent="0.3">
      <c r="A32" s="1"/>
      <c r="B32" s="1"/>
      <c r="C32" s="1"/>
      <c r="D32" s="1"/>
      <c r="E32" s="1" t="s">
        <v>31</v>
      </c>
      <c r="F32" s="1"/>
      <c r="G32" s="1"/>
      <c r="H32" s="2">
        <v>25790.74</v>
      </c>
    </row>
    <row r="33" spans="1:8" x14ac:dyDescent="0.3">
      <c r="A33" s="1"/>
      <c r="B33" s="1"/>
      <c r="C33" s="1"/>
      <c r="D33" s="1"/>
      <c r="E33" s="1" t="s">
        <v>32</v>
      </c>
      <c r="F33" s="1"/>
      <c r="G33" s="1"/>
      <c r="H33" s="2">
        <v>91979.53</v>
      </c>
    </row>
    <row r="34" spans="1:8" x14ac:dyDescent="0.3">
      <c r="A34" s="1"/>
      <c r="B34" s="1"/>
      <c r="C34" s="1"/>
      <c r="D34" s="1"/>
      <c r="E34" s="1" t="s">
        <v>33</v>
      </c>
      <c r="F34" s="1"/>
      <c r="G34" s="1"/>
      <c r="H34" s="2">
        <v>17190.849999999999</v>
      </c>
    </row>
    <row r="35" spans="1:8" ht="15" thickBot="1" x14ac:dyDescent="0.35">
      <c r="A35" s="1"/>
      <c r="B35" s="1"/>
      <c r="C35" s="1"/>
      <c r="D35" s="1"/>
      <c r="E35" s="1" t="s">
        <v>34</v>
      </c>
      <c r="F35" s="1"/>
      <c r="G35" s="1"/>
      <c r="H35" s="5">
        <v>320457.34000000003</v>
      </c>
    </row>
    <row r="36" spans="1:8" x14ac:dyDescent="0.3">
      <c r="A36" s="1"/>
      <c r="B36" s="1"/>
      <c r="C36" s="1"/>
      <c r="D36" s="1" t="s">
        <v>35</v>
      </c>
      <c r="E36" s="1"/>
      <c r="F36" s="1"/>
      <c r="G36" s="1"/>
      <c r="H36" s="2">
        <f>ROUND(SUM(H30:H35),5)</f>
        <v>458616.19</v>
      </c>
    </row>
    <row r="37" spans="1:8" x14ac:dyDescent="0.3">
      <c r="A37" s="1"/>
      <c r="B37" s="1"/>
      <c r="C37" s="1"/>
      <c r="D37" s="1" t="s">
        <v>36</v>
      </c>
      <c r="E37" s="1"/>
      <c r="F37" s="1"/>
      <c r="G37" s="1"/>
      <c r="H37" s="2"/>
    </row>
    <row r="38" spans="1:8" x14ac:dyDescent="0.3">
      <c r="A38" s="1"/>
      <c r="B38" s="1"/>
      <c r="C38" s="1"/>
      <c r="D38" s="1"/>
      <c r="E38" s="1" t="s">
        <v>37</v>
      </c>
      <c r="F38" s="1"/>
      <c r="G38" s="1"/>
      <c r="H38" s="2">
        <v>-13238.34</v>
      </c>
    </row>
    <row r="39" spans="1:8" ht="15" thickBot="1" x14ac:dyDescent="0.35">
      <c r="A39" s="1"/>
      <c r="B39" s="1"/>
      <c r="C39" s="1"/>
      <c r="D39" s="1"/>
      <c r="E39" s="1" t="s">
        <v>38</v>
      </c>
      <c r="F39" s="1"/>
      <c r="G39" s="1"/>
      <c r="H39" s="2">
        <v>21136.55</v>
      </c>
    </row>
    <row r="40" spans="1:8" ht="15" thickBot="1" x14ac:dyDescent="0.35">
      <c r="A40" s="1"/>
      <c r="B40" s="1"/>
      <c r="C40" s="1"/>
      <c r="D40" s="1" t="s">
        <v>39</v>
      </c>
      <c r="E40" s="1"/>
      <c r="F40" s="1"/>
      <c r="G40" s="1"/>
      <c r="H40" s="6">
        <f>ROUND(SUM(H37:H39),5)</f>
        <v>7898.21</v>
      </c>
    </row>
    <row r="41" spans="1:8" ht="15" thickBot="1" x14ac:dyDescent="0.35">
      <c r="A41" s="1"/>
      <c r="B41" s="1"/>
      <c r="C41" s="1" t="s">
        <v>40</v>
      </c>
      <c r="D41" s="1"/>
      <c r="E41" s="1"/>
      <c r="F41" s="1"/>
      <c r="G41" s="1"/>
      <c r="H41" s="4">
        <f>ROUND(SUM(H22:H23)+H29+H36+H40,5)</f>
        <v>878010.9</v>
      </c>
    </row>
    <row r="42" spans="1:8" x14ac:dyDescent="0.3">
      <c r="A42" s="1"/>
      <c r="B42" s="1" t="s">
        <v>41</v>
      </c>
      <c r="C42" s="1"/>
      <c r="D42" s="1"/>
      <c r="E42" s="1"/>
      <c r="F42" s="1"/>
      <c r="G42" s="1"/>
      <c r="H42" s="2">
        <f>ROUND(H3+H16+H21+H41,5)</f>
        <v>1250931.53</v>
      </c>
    </row>
    <row r="43" spans="1:8" x14ac:dyDescent="0.3">
      <c r="A43" s="1"/>
      <c r="B43" s="1" t="s">
        <v>42</v>
      </c>
      <c r="C43" s="1"/>
      <c r="D43" s="1"/>
      <c r="E43" s="1"/>
      <c r="F43" s="1"/>
      <c r="G43" s="1"/>
      <c r="H43" s="2"/>
    </row>
    <row r="44" spans="1:8" x14ac:dyDescent="0.3">
      <c r="A44" s="1"/>
      <c r="B44" s="1"/>
      <c r="C44" s="1" t="s">
        <v>43</v>
      </c>
      <c r="D44" s="1"/>
      <c r="E44" s="1"/>
      <c r="F44" s="1"/>
      <c r="G44" s="1"/>
      <c r="H44" s="2"/>
    </row>
    <row r="45" spans="1:8" x14ac:dyDescent="0.3">
      <c r="A45" s="1"/>
      <c r="B45" s="1"/>
      <c r="C45" s="1"/>
      <c r="D45" s="1" t="s">
        <v>44</v>
      </c>
      <c r="E45" s="1"/>
      <c r="F45" s="1"/>
      <c r="G45" s="1"/>
      <c r="H45" s="2">
        <v>127870.61</v>
      </c>
    </row>
    <row r="46" spans="1:8" ht="15" thickBot="1" x14ac:dyDescent="0.35">
      <c r="A46" s="1"/>
      <c r="B46" s="1"/>
      <c r="C46" s="1"/>
      <c r="D46" s="1" t="s">
        <v>45</v>
      </c>
      <c r="E46" s="1"/>
      <c r="F46" s="1"/>
      <c r="G46" s="1"/>
      <c r="H46" s="5">
        <v>100654.37</v>
      </c>
    </row>
    <row r="47" spans="1:8" x14ac:dyDescent="0.3">
      <c r="A47" s="1"/>
      <c r="B47" s="1"/>
      <c r="C47" s="1" t="s">
        <v>46</v>
      </c>
      <c r="D47" s="1"/>
      <c r="E47" s="1"/>
      <c r="F47" s="1"/>
      <c r="G47" s="1"/>
      <c r="H47" s="2">
        <f>ROUND(SUM(H44:H46),5)</f>
        <v>228524.98</v>
      </c>
    </row>
    <row r="48" spans="1:8" x14ac:dyDescent="0.3">
      <c r="A48" s="1"/>
      <c r="B48" s="1"/>
      <c r="C48" s="1" t="s">
        <v>47</v>
      </c>
      <c r="D48" s="1"/>
      <c r="E48" s="1"/>
      <c r="F48" s="1"/>
      <c r="G48" s="1"/>
      <c r="H48" s="2"/>
    </row>
    <row r="49" spans="1:8" x14ac:dyDescent="0.3">
      <c r="A49" s="1"/>
      <c r="B49" s="1"/>
      <c r="C49" s="1"/>
      <c r="D49" s="1" t="s">
        <v>48</v>
      </c>
      <c r="E49" s="1"/>
      <c r="F49" s="1"/>
      <c r="G49" s="1"/>
      <c r="H49" s="2">
        <v>692314.6</v>
      </c>
    </row>
    <row r="50" spans="1:8" x14ac:dyDescent="0.3">
      <c r="A50" s="1"/>
      <c r="B50" s="1"/>
      <c r="C50" s="1"/>
      <c r="D50" s="1" t="s">
        <v>49</v>
      </c>
      <c r="E50" s="1"/>
      <c r="F50" s="1"/>
      <c r="G50" s="1"/>
      <c r="H50" s="2">
        <v>42926.38</v>
      </c>
    </row>
    <row r="51" spans="1:8" x14ac:dyDescent="0.3">
      <c r="A51" s="1"/>
      <c r="B51" s="1"/>
      <c r="C51" s="1"/>
      <c r="D51" s="1" t="s">
        <v>50</v>
      </c>
      <c r="E51" s="1"/>
      <c r="F51" s="1"/>
      <c r="G51" s="1"/>
      <c r="H51" s="2">
        <v>269120.84000000003</v>
      </c>
    </row>
    <row r="52" spans="1:8" x14ac:dyDescent="0.3">
      <c r="A52" s="1"/>
      <c r="B52" s="1"/>
      <c r="C52" s="1"/>
      <c r="D52" s="1" t="s">
        <v>51</v>
      </c>
      <c r="E52" s="1"/>
      <c r="F52" s="1"/>
      <c r="G52" s="1"/>
      <c r="H52" s="2">
        <v>110550</v>
      </c>
    </row>
    <row r="53" spans="1:8" ht="15" thickBot="1" x14ac:dyDescent="0.35">
      <c r="A53" s="1"/>
      <c r="B53" s="1"/>
      <c r="C53" s="1"/>
      <c r="D53" s="1" t="s">
        <v>52</v>
      </c>
      <c r="E53" s="1"/>
      <c r="F53" s="1"/>
      <c r="G53" s="1"/>
      <c r="H53" s="5">
        <v>512000</v>
      </c>
    </row>
    <row r="54" spans="1:8" x14ac:dyDescent="0.3">
      <c r="A54" s="1"/>
      <c r="B54" s="1"/>
      <c r="C54" s="1" t="s">
        <v>53</v>
      </c>
      <c r="D54" s="1"/>
      <c r="E54" s="1"/>
      <c r="F54" s="1"/>
      <c r="G54" s="1"/>
      <c r="H54" s="2">
        <f>ROUND(SUM(H48:H53),5)</f>
        <v>1626911.82</v>
      </c>
    </row>
    <row r="55" spans="1:8" x14ac:dyDescent="0.3">
      <c r="A55" s="1"/>
      <c r="B55" s="1"/>
      <c r="C55" s="1" t="s">
        <v>54</v>
      </c>
      <c r="D55" s="1"/>
      <c r="E55" s="1"/>
      <c r="F55" s="1"/>
      <c r="G55" s="1"/>
      <c r="H55" s="2">
        <v>-252889.08</v>
      </c>
    </row>
    <row r="56" spans="1:8" ht="15" thickBot="1" x14ac:dyDescent="0.35">
      <c r="A56" s="1"/>
      <c r="B56" s="1"/>
      <c r="C56" s="1" t="s">
        <v>55</v>
      </c>
      <c r="D56" s="1"/>
      <c r="E56" s="1"/>
      <c r="F56" s="1"/>
      <c r="G56" s="1"/>
      <c r="H56" s="5">
        <v>-70662.429999999993</v>
      </c>
    </row>
    <row r="57" spans="1:8" x14ac:dyDescent="0.3">
      <c r="A57" s="1"/>
      <c r="B57" s="1" t="s">
        <v>56</v>
      </c>
      <c r="C57" s="1"/>
      <c r="D57" s="1"/>
      <c r="E57" s="1"/>
      <c r="F57" s="1"/>
      <c r="G57" s="1"/>
      <c r="H57" s="2">
        <f>ROUND(H43+H47+SUM(H54:H56),5)</f>
        <v>1531885.29</v>
      </c>
    </row>
    <row r="58" spans="1:8" x14ac:dyDescent="0.3">
      <c r="A58" s="1"/>
      <c r="B58" s="1" t="s">
        <v>57</v>
      </c>
      <c r="C58" s="1"/>
      <c r="D58" s="1"/>
      <c r="E58" s="1"/>
      <c r="F58" s="1"/>
      <c r="G58" s="1"/>
      <c r="H58" s="2"/>
    </row>
    <row r="59" spans="1:8" ht="15" thickBot="1" x14ac:dyDescent="0.35">
      <c r="A59" s="1"/>
      <c r="B59" s="1"/>
      <c r="C59" s="1" t="s">
        <v>58</v>
      </c>
      <c r="D59" s="1"/>
      <c r="E59" s="1"/>
      <c r="F59" s="1"/>
      <c r="G59" s="1"/>
      <c r="H59" s="2">
        <v>66860</v>
      </c>
    </row>
    <row r="60" spans="1:8" ht="15" thickBot="1" x14ac:dyDescent="0.35">
      <c r="A60" s="1"/>
      <c r="B60" s="1" t="s">
        <v>59</v>
      </c>
      <c r="C60" s="1"/>
      <c r="D60" s="1"/>
      <c r="E60" s="1"/>
      <c r="F60" s="1"/>
      <c r="G60" s="1"/>
      <c r="H60" s="6">
        <f>ROUND(SUM(H58:H59),5)</f>
        <v>66860</v>
      </c>
    </row>
    <row r="61" spans="1:8" s="8" customFormat="1" thickBot="1" x14ac:dyDescent="0.35">
      <c r="A61" s="1" t="s">
        <v>60</v>
      </c>
      <c r="B61" s="1"/>
      <c r="C61" s="1"/>
      <c r="D61" s="1"/>
      <c r="E61" s="1"/>
      <c r="F61" s="1"/>
      <c r="G61" s="1"/>
      <c r="H61" s="7">
        <f>ROUND(H2+H42+H57+H60,5)</f>
        <v>2849676.82</v>
      </c>
    </row>
    <row r="62" spans="1:8" ht="15" thickTop="1" x14ac:dyDescent="0.3">
      <c r="A62" s="1" t="s">
        <v>61</v>
      </c>
      <c r="B62" s="1"/>
      <c r="C62" s="1"/>
      <c r="D62" s="1"/>
      <c r="E62" s="1"/>
      <c r="F62" s="1"/>
      <c r="G62" s="1"/>
      <c r="H62" s="2"/>
    </row>
    <row r="63" spans="1:8" x14ac:dyDescent="0.3">
      <c r="A63" s="1"/>
      <c r="B63" s="1" t="s">
        <v>62</v>
      </c>
      <c r="C63" s="1"/>
      <c r="D63" s="1"/>
      <c r="E63" s="1"/>
      <c r="F63" s="1"/>
      <c r="G63" s="1"/>
      <c r="H63" s="2"/>
    </row>
    <row r="64" spans="1:8" x14ac:dyDescent="0.3">
      <c r="A64" s="1"/>
      <c r="B64" s="1"/>
      <c r="C64" s="1" t="s">
        <v>63</v>
      </c>
      <c r="D64" s="1"/>
      <c r="E64" s="1"/>
      <c r="F64" s="1"/>
      <c r="G64" s="1"/>
      <c r="H64" s="2"/>
    </row>
    <row r="65" spans="1:8" x14ac:dyDescent="0.3">
      <c r="A65" s="1"/>
      <c r="B65" s="1"/>
      <c r="C65" s="1"/>
      <c r="D65" s="1" t="s">
        <v>64</v>
      </c>
      <c r="E65" s="1"/>
      <c r="F65" s="1"/>
      <c r="G65" s="1"/>
      <c r="H65" s="2"/>
    </row>
    <row r="66" spans="1:8" x14ac:dyDescent="0.3">
      <c r="A66" s="1"/>
      <c r="B66" s="1"/>
      <c r="C66" s="1"/>
      <c r="D66" s="1"/>
      <c r="E66" s="1" t="s">
        <v>65</v>
      </c>
      <c r="F66" s="1"/>
      <c r="G66" s="1"/>
      <c r="H66" s="2"/>
    </row>
    <row r="67" spans="1:8" ht="15" thickBot="1" x14ac:dyDescent="0.35">
      <c r="A67" s="1"/>
      <c r="B67" s="1"/>
      <c r="C67" s="1"/>
      <c r="D67" s="1"/>
      <c r="E67" s="1"/>
      <c r="F67" s="1" t="s">
        <v>66</v>
      </c>
      <c r="G67" s="1"/>
      <c r="H67" s="2">
        <v>256130.7</v>
      </c>
    </row>
    <row r="68" spans="1:8" ht="15" thickBot="1" x14ac:dyDescent="0.35">
      <c r="A68" s="1"/>
      <c r="B68" s="1"/>
      <c r="C68" s="1"/>
      <c r="D68" s="1"/>
      <c r="E68" s="1" t="s">
        <v>67</v>
      </c>
      <c r="F68" s="1"/>
      <c r="G68" s="1"/>
      <c r="H68" s="4">
        <f>ROUND(SUM(H66:H67),5)</f>
        <v>256130.7</v>
      </c>
    </row>
    <row r="69" spans="1:8" x14ac:dyDescent="0.3">
      <c r="A69" s="1"/>
      <c r="B69" s="1"/>
      <c r="C69" s="1"/>
      <c r="D69" s="1" t="s">
        <v>68</v>
      </c>
      <c r="E69" s="1"/>
      <c r="F69" s="1"/>
      <c r="G69" s="1"/>
      <c r="H69" s="2">
        <f>ROUND(H65+H68,5)</f>
        <v>256130.7</v>
      </c>
    </row>
    <row r="70" spans="1:8" x14ac:dyDescent="0.3">
      <c r="A70" s="1"/>
      <c r="B70" s="1"/>
      <c r="C70" s="1"/>
      <c r="D70" s="1" t="s">
        <v>69</v>
      </c>
      <c r="E70" s="1"/>
      <c r="F70" s="1"/>
      <c r="G70" s="1"/>
      <c r="H70" s="2"/>
    </row>
    <row r="71" spans="1:8" x14ac:dyDescent="0.3">
      <c r="A71" s="1"/>
      <c r="B71" s="1"/>
      <c r="C71" s="1"/>
      <c r="D71" s="1"/>
      <c r="E71" s="1" t="s">
        <v>70</v>
      </c>
      <c r="F71" s="1"/>
      <c r="G71" s="1"/>
      <c r="H71" s="2"/>
    </row>
    <row r="72" spans="1:8" x14ac:dyDescent="0.3">
      <c r="A72" s="1"/>
      <c r="B72" s="1"/>
      <c r="C72" s="1"/>
      <c r="D72" s="1"/>
      <c r="E72" s="1"/>
      <c r="F72" s="1" t="s">
        <v>71</v>
      </c>
      <c r="G72" s="1"/>
      <c r="H72" s="2">
        <v>4917.66</v>
      </c>
    </row>
    <row r="73" spans="1:8" x14ac:dyDescent="0.3">
      <c r="A73" s="1"/>
      <c r="B73" s="1"/>
      <c r="C73" s="1"/>
      <c r="D73" s="1"/>
      <c r="E73" s="1"/>
      <c r="F73" s="1" t="s">
        <v>72</v>
      </c>
      <c r="G73" s="1"/>
      <c r="H73" s="2">
        <v>20810.099999999999</v>
      </c>
    </row>
    <row r="74" spans="1:8" x14ac:dyDescent="0.3">
      <c r="A74" s="1"/>
      <c r="B74" s="1"/>
      <c r="C74" s="1"/>
      <c r="D74" s="1"/>
      <c r="E74" s="1"/>
      <c r="F74" s="1" t="s">
        <v>73</v>
      </c>
      <c r="G74" s="1"/>
      <c r="H74" s="2">
        <v>5729.04</v>
      </c>
    </row>
    <row r="75" spans="1:8" x14ac:dyDescent="0.3">
      <c r="A75" s="1"/>
      <c r="B75" s="1"/>
      <c r="C75" s="1"/>
      <c r="D75" s="1"/>
      <c r="E75" s="1"/>
      <c r="F75" s="1" t="s">
        <v>74</v>
      </c>
      <c r="G75" s="1"/>
      <c r="H75" s="2">
        <v>8133.88</v>
      </c>
    </row>
    <row r="76" spans="1:8" x14ac:dyDescent="0.3">
      <c r="A76" s="1"/>
      <c r="B76" s="1"/>
      <c r="C76" s="1"/>
      <c r="D76" s="1"/>
      <c r="E76" s="1"/>
      <c r="F76" s="1" t="s">
        <v>75</v>
      </c>
      <c r="G76" s="1"/>
      <c r="H76" s="2">
        <v>1082.51</v>
      </c>
    </row>
    <row r="77" spans="1:8" x14ac:dyDescent="0.3">
      <c r="A77" s="1"/>
      <c r="B77" s="1"/>
      <c r="C77" s="1"/>
      <c r="D77" s="1"/>
      <c r="E77" s="1"/>
      <c r="F77" s="1" t="s">
        <v>76</v>
      </c>
      <c r="G77" s="1"/>
      <c r="H77" s="2">
        <v>4619.3900000000003</v>
      </c>
    </row>
    <row r="78" spans="1:8" x14ac:dyDescent="0.3">
      <c r="A78" s="1"/>
      <c r="B78" s="1"/>
      <c r="C78" s="1"/>
      <c r="D78" s="1"/>
      <c r="E78" s="1"/>
      <c r="F78" s="1" t="s">
        <v>77</v>
      </c>
      <c r="G78" s="1"/>
      <c r="H78" s="2">
        <v>1834.25</v>
      </c>
    </row>
    <row r="79" spans="1:8" ht="15" thickBot="1" x14ac:dyDescent="0.35">
      <c r="A79" s="1"/>
      <c r="B79" s="1"/>
      <c r="C79" s="1"/>
      <c r="D79" s="1"/>
      <c r="E79" s="1"/>
      <c r="F79" s="1" t="s">
        <v>78</v>
      </c>
      <c r="G79" s="1"/>
      <c r="H79" s="2">
        <v>179.47</v>
      </c>
    </row>
    <row r="80" spans="1:8" ht="15" thickBot="1" x14ac:dyDescent="0.35">
      <c r="A80" s="1"/>
      <c r="B80" s="1"/>
      <c r="C80" s="1"/>
      <c r="D80" s="1"/>
      <c r="E80" s="1" t="s">
        <v>79</v>
      </c>
      <c r="F80" s="1"/>
      <c r="G80" s="1"/>
      <c r="H80" s="4">
        <f>ROUND(SUM(H71:H79),5)</f>
        <v>47306.3</v>
      </c>
    </row>
    <row r="81" spans="1:8" x14ac:dyDescent="0.3">
      <c r="A81" s="1"/>
      <c r="B81" s="1"/>
      <c r="C81" s="1"/>
      <c r="D81" s="1" t="s">
        <v>80</v>
      </c>
      <c r="E81" s="1"/>
      <c r="F81" s="1"/>
      <c r="G81" s="1"/>
      <c r="H81" s="2">
        <f>ROUND(H70+H80,5)</f>
        <v>47306.3</v>
      </c>
    </row>
    <row r="82" spans="1:8" x14ac:dyDescent="0.3">
      <c r="A82" s="1"/>
      <c r="B82" s="1"/>
      <c r="C82" s="1"/>
      <c r="D82" s="1" t="s">
        <v>81</v>
      </c>
      <c r="E82" s="1"/>
      <c r="F82" s="1"/>
      <c r="G82" s="1"/>
      <c r="H82" s="2"/>
    </row>
    <row r="83" spans="1:8" x14ac:dyDescent="0.3">
      <c r="A83" s="1"/>
      <c r="B83" s="1"/>
      <c r="C83" s="1"/>
      <c r="D83" s="1"/>
      <c r="E83" s="1" t="s">
        <v>82</v>
      </c>
      <c r="F83" s="1"/>
      <c r="G83" s="1"/>
      <c r="H83" s="2"/>
    </row>
    <row r="84" spans="1:8" ht="15" thickBot="1" x14ac:dyDescent="0.35">
      <c r="A84" s="1"/>
      <c r="B84" s="1"/>
      <c r="C84" s="1"/>
      <c r="D84" s="1"/>
      <c r="E84" s="1"/>
      <c r="F84" s="1" t="s">
        <v>83</v>
      </c>
      <c r="G84" s="1"/>
      <c r="H84" s="5">
        <v>222852.69</v>
      </c>
    </row>
    <row r="85" spans="1:8" x14ac:dyDescent="0.3">
      <c r="A85" s="1"/>
      <c r="B85" s="1"/>
      <c r="C85" s="1"/>
      <c r="D85" s="1"/>
      <c r="E85" s="1" t="s">
        <v>84</v>
      </c>
      <c r="F85" s="1"/>
      <c r="G85" s="1"/>
      <c r="H85" s="2">
        <f>ROUND(SUM(H83:H84),5)</f>
        <v>222852.69</v>
      </c>
    </row>
    <row r="86" spans="1:8" x14ac:dyDescent="0.3">
      <c r="A86" s="1"/>
      <c r="B86" s="1"/>
      <c r="C86" s="1"/>
      <c r="D86" s="1"/>
      <c r="E86" s="1" t="s">
        <v>85</v>
      </c>
      <c r="F86" s="1"/>
      <c r="G86" s="1"/>
      <c r="H86" s="2">
        <v>30</v>
      </c>
    </row>
    <row r="87" spans="1:8" x14ac:dyDescent="0.3">
      <c r="A87" s="1"/>
      <c r="B87" s="1"/>
      <c r="C87" s="1"/>
      <c r="D87" s="1"/>
      <c r="E87" s="1" t="s">
        <v>86</v>
      </c>
      <c r="F87" s="1"/>
      <c r="G87" s="1"/>
      <c r="H87" s="2"/>
    </row>
    <row r="88" spans="1:8" x14ac:dyDescent="0.3">
      <c r="A88" s="1"/>
      <c r="B88" s="1"/>
      <c r="C88" s="1"/>
      <c r="D88" s="1"/>
      <c r="E88" s="1"/>
      <c r="F88" s="1" t="s">
        <v>88</v>
      </c>
      <c r="G88" s="1"/>
      <c r="H88" s="2">
        <v>1437.98</v>
      </c>
    </row>
    <row r="89" spans="1:8" x14ac:dyDescent="0.3">
      <c r="A89" s="1"/>
      <c r="B89" s="1"/>
      <c r="C89" s="1"/>
      <c r="D89" s="1"/>
      <c r="E89" s="1"/>
      <c r="F89" s="1" t="s">
        <v>90</v>
      </c>
      <c r="G89" s="1"/>
      <c r="H89" s="2">
        <v>-11386.44</v>
      </c>
    </row>
    <row r="90" spans="1:8" ht="15" thickBot="1" x14ac:dyDescent="0.35">
      <c r="A90" s="1"/>
      <c r="B90" s="1"/>
      <c r="C90" s="1"/>
      <c r="D90" s="1"/>
      <c r="E90" s="1"/>
      <c r="F90" s="1" t="s">
        <v>91</v>
      </c>
      <c r="G90" s="1"/>
      <c r="H90" s="5">
        <v>-100</v>
      </c>
    </row>
    <row r="91" spans="1:8" x14ac:dyDescent="0.3">
      <c r="A91" s="1"/>
      <c r="B91" s="1"/>
      <c r="C91" s="1"/>
      <c r="D91" s="1"/>
      <c r="E91" s="1" t="s">
        <v>92</v>
      </c>
      <c r="F91" s="1"/>
      <c r="G91" s="1"/>
      <c r="H91" s="2">
        <f>ROUND(SUM(H87:H90),5)</f>
        <v>-10048.459999999999</v>
      </c>
    </row>
    <row r="92" spans="1:8" x14ac:dyDescent="0.3">
      <c r="A92" s="1"/>
      <c r="B92" s="1"/>
      <c r="C92" s="1"/>
      <c r="D92" s="1"/>
      <c r="E92" s="1" t="s">
        <v>93</v>
      </c>
      <c r="F92" s="1"/>
      <c r="G92" s="1"/>
      <c r="H92" s="2">
        <v>30391.27</v>
      </c>
    </row>
    <row r="93" spans="1:8" x14ac:dyDescent="0.3">
      <c r="A93" s="1"/>
      <c r="B93" s="1"/>
      <c r="C93" s="1"/>
      <c r="D93" s="1"/>
      <c r="E93" s="1" t="s">
        <v>97</v>
      </c>
      <c r="F93" s="1"/>
      <c r="G93" s="1"/>
      <c r="H93" s="2"/>
    </row>
    <row r="94" spans="1:8" x14ac:dyDescent="0.3">
      <c r="A94" s="1"/>
      <c r="B94" s="1"/>
      <c r="C94" s="1"/>
      <c r="D94" s="1"/>
      <c r="E94" s="1"/>
      <c r="F94" s="1" t="s">
        <v>98</v>
      </c>
      <c r="G94" s="1"/>
      <c r="H94" s="2"/>
    </row>
    <row r="95" spans="1:8" x14ac:dyDescent="0.3">
      <c r="A95" s="1"/>
      <c r="B95" s="1"/>
      <c r="C95" s="1"/>
      <c r="D95" s="1"/>
      <c r="E95" s="1"/>
      <c r="F95" s="1"/>
      <c r="G95" s="1" t="s">
        <v>126</v>
      </c>
      <c r="H95" s="2">
        <v>-10945.43</v>
      </c>
    </row>
    <row r="96" spans="1:8" ht="15" thickBot="1" x14ac:dyDescent="0.35">
      <c r="A96" s="1"/>
      <c r="B96" s="1"/>
      <c r="C96" s="1"/>
      <c r="D96" s="1"/>
      <c r="E96" s="1"/>
      <c r="F96" s="1"/>
      <c r="G96" s="1" t="s">
        <v>125</v>
      </c>
      <c r="H96" s="5">
        <v>10408.73</v>
      </c>
    </row>
    <row r="97" spans="1:8" x14ac:dyDescent="0.3">
      <c r="A97" s="1"/>
      <c r="B97" s="1"/>
      <c r="C97" s="1"/>
      <c r="D97" s="1"/>
      <c r="E97" s="1"/>
      <c r="F97" s="1" t="s">
        <v>124</v>
      </c>
      <c r="G97" s="1"/>
      <c r="H97" s="2">
        <f>ROUND(SUM(H94:H96),5)</f>
        <v>-536.70000000000005</v>
      </c>
    </row>
    <row r="98" spans="1:8" ht="15" thickBot="1" x14ac:dyDescent="0.35">
      <c r="A98" s="1"/>
      <c r="B98" s="1"/>
      <c r="C98" s="1"/>
      <c r="D98" s="1"/>
      <c r="E98" s="1"/>
      <c r="F98" s="1" t="s">
        <v>99</v>
      </c>
      <c r="G98" s="1"/>
      <c r="H98" s="2">
        <v>3432.32</v>
      </c>
    </row>
    <row r="99" spans="1:8" ht="15" thickBot="1" x14ac:dyDescent="0.35">
      <c r="A99" s="1"/>
      <c r="B99" s="1"/>
      <c r="C99" s="1"/>
      <c r="D99" s="1"/>
      <c r="E99" s="1" t="s">
        <v>100</v>
      </c>
      <c r="F99" s="1"/>
      <c r="G99" s="1"/>
      <c r="H99" s="6">
        <f>ROUND(H93+SUM(H97:H98),5)</f>
        <v>2895.62</v>
      </c>
    </row>
    <row r="100" spans="1:8" ht="15" thickBot="1" x14ac:dyDescent="0.35">
      <c r="A100" s="1"/>
      <c r="B100" s="1"/>
      <c r="C100" s="1"/>
      <c r="D100" s="1" t="s">
        <v>101</v>
      </c>
      <c r="E100" s="1"/>
      <c r="F100" s="1"/>
      <c r="G100" s="1"/>
      <c r="H100" s="4">
        <f>ROUND(H82+SUM(H85:H86)+SUM(H91:H92)+H99,5)</f>
        <v>246121.12</v>
      </c>
    </row>
    <row r="101" spans="1:8" x14ac:dyDescent="0.3">
      <c r="A101" s="1"/>
      <c r="B101" s="1"/>
      <c r="C101" s="1" t="s">
        <v>102</v>
      </c>
      <c r="D101" s="1"/>
      <c r="E101" s="1"/>
      <c r="F101" s="1"/>
      <c r="G101" s="1"/>
      <c r="H101" s="2">
        <f>ROUND(H64+H69+H81+H100,5)</f>
        <v>549558.12</v>
      </c>
    </row>
    <row r="102" spans="1:8" x14ac:dyDescent="0.3">
      <c r="A102" s="1"/>
      <c r="B102" s="1"/>
      <c r="C102" s="1" t="s">
        <v>103</v>
      </c>
      <c r="D102" s="1"/>
      <c r="E102" s="1"/>
      <c r="F102" s="1"/>
      <c r="G102" s="1"/>
      <c r="H102" s="2"/>
    </row>
    <row r="103" spans="1:8" x14ac:dyDescent="0.3">
      <c r="A103" s="1"/>
      <c r="B103" s="1"/>
      <c r="C103" s="1"/>
      <c r="D103" s="1" t="s">
        <v>104</v>
      </c>
      <c r="E103" s="1"/>
      <c r="F103" s="1"/>
      <c r="G103" s="1"/>
      <c r="H103" s="2"/>
    </row>
    <row r="104" spans="1:8" x14ac:dyDescent="0.3">
      <c r="A104" s="1"/>
      <c r="B104" s="1"/>
      <c r="C104" s="1"/>
      <c r="D104" s="1"/>
      <c r="E104" s="1" t="s">
        <v>105</v>
      </c>
      <c r="F104" s="1"/>
      <c r="G104" s="1"/>
      <c r="H104" s="2"/>
    </row>
    <row r="105" spans="1:8" x14ac:dyDescent="0.3">
      <c r="A105" s="1"/>
      <c r="B105" s="1"/>
      <c r="C105" s="1"/>
      <c r="D105" s="1"/>
      <c r="E105" s="1"/>
      <c r="F105" s="1" t="s">
        <v>106</v>
      </c>
      <c r="G105" s="1"/>
      <c r="H105" s="2">
        <v>500000</v>
      </c>
    </row>
    <row r="106" spans="1:8" ht="15" thickBot="1" x14ac:dyDescent="0.35">
      <c r="A106" s="1"/>
      <c r="B106" s="1"/>
      <c r="C106" s="1"/>
      <c r="D106" s="1"/>
      <c r="E106" s="1"/>
      <c r="F106" s="1" t="s">
        <v>107</v>
      </c>
      <c r="G106" s="1"/>
      <c r="H106" s="2">
        <v>402223.01</v>
      </c>
    </row>
    <row r="107" spans="1:8" ht="15" thickBot="1" x14ac:dyDescent="0.35">
      <c r="A107" s="1"/>
      <c r="B107" s="1"/>
      <c r="C107" s="1"/>
      <c r="D107" s="1"/>
      <c r="E107" s="1" t="s">
        <v>108</v>
      </c>
      <c r="F107" s="1"/>
      <c r="G107" s="1"/>
      <c r="H107" s="6">
        <f>ROUND(SUM(H104:H106),5)</f>
        <v>902223.01</v>
      </c>
    </row>
    <row r="108" spans="1:8" ht="15" thickBot="1" x14ac:dyDescent="0.35">
      <c r="A108" s="1"/>
      <c r="B108" s="1"/>
      <c r="C108" s="1"/>
      <c r="D108" s="1" t="s">
        <v>109</v>
      </c>
      <c r="E108" s="1"/>
      <c r="F108" s="1"/>
      <c r="G108" s="1"/>
      <c r="H108" s="6">
        <f>ROUND(H103+H107,5)</f>
        <v>902223.01</v>
      </c>
    </row>
    <row r="109" spans="1:8" ht="15" thickBot="1" x14ac:dyDescent="0.35">
      <c r="A109" s="1"/>
      <c r="B109" s="1"/>
      <c r="C109" s="1" t="s">
        <v>110</v>
      </c>
      <c r="D109" s="1"/>
      <c r="E109" s="1"/>
      <c r="F109" s="1"/>
      <c r="G109" s="1"/>
      <c r="H109" s="4">
        <f>ROUND(H102+H108,5)</f>
        <v>902223.01</v>
      </c>
    </row>
    <row r="110" spans="1:8" x14ac:dyDescent="0.3">
      <c r="A110" s="1"/>
      <c r="B110" s="1" t="s">
        <v>111</v>
      </c>
      <c r="C110" s="1"/>
      <c r="D110" s="1"/>
      <c r="E110" s="1"/>
      <c r="F110" s="1"/>
      <c r="G110" s="1"/>
      <c r="H110" s="2">
        <f>ROUND(H63+H101+H109,5)</f>
        <v>1451781.13</v>
      </c>
    </row>
    <row r="111" spans="1:8" x14ac:dyDescent="0.3">
      <c r="A111" s="1"/>
      <c r="B111" s="1" t="s">
        <v>112</v>
      </c>
      <c r="C111" s="1"/>
      <c r="D111" s="1"/>
      <c r="E111" s="1"/>
      <c r="F111" s="1"/>
      <c r="G111" s="1"/>
      <c r="H111" s="2"/>
    </row>
    <row r="112" spans="1:8" x14ac:dyDescent="0.3">
      <c r="A112" s="1"/>
      <c r="B112" s="1"/>
      <c r="C112" s="1" t="s">
        <v>113</v>
      </c>
      <c r="D112" s="1"/>
      <c r="E112" s="1"/>
      <c r="F112" s="1"/>
      <c r="G112" s="1"/>
      <c r="H112" s="2"/>
    </row>
    <row r="113" spans="1:8" x14ac:dyDescent="0.3">
      <c r="A113" s="1"/>
      <c r="B113" s="1"/>
      <c r="C113" s="1"/>
      <c r="D113" s="1" t="s">
        <v>114</v>
      </c>
      <c r="E113" s="1"/>
      <c r="F113" s="1"/>
      <c r="G113" s="1"/>
      <c r="H113" s="2">
        <v>490245.1</v>
      </c>
    </row>
    <row r="114" spans="1:8" x14ac:dyDescent="0.3">
      <c r="A114" s="1"/>
      <c r="B114" s="1"/>
      <c r="C114" s="1"/>
      <c r="D114" s="1" t="s">
        <v>115</v>
      </c>
      <c r="E114" s="1"/>
      <c r="F114" s="1"/>
      <c r="G114" s="1"/>
      <c r="H114" s="2">
        <v>495276.57</v>
      </c>
    </row>
    <row r="115" spans="1:8" x14ac:dyDescent="0.3">
      <c r="A115" s="1"/>
      <c r="B115" s="1"/>
      <c r="C115" s="1"/>
      <c r="D115" s="1" t="s">
        <v>116</v>
      </c>
      <c r="E115" s="1"/>
      <c r="F115" s="1"/>
      <c r="G115" s="1"/>
      <c r="H115" s="2">
        <v>-91868.7</v>
      </c>
    </row>
    <row r="116" spans="1:8" ht="15" thickBot="1" x14ac:dyDescent="0.35">
      <c r="A116" s="1"/>
      <c r="B116" s="1"/>
      <c r="C116" s="1"/>
      <c r="D116" s="1" t="s">
        <v>117</v>
      </c>
      <c r="E116" s="1"/>
      <c r="F116" s="1"/>
      <c r="G116" s="1"/>
      <c r="H116" s="5">
        <v>-45335.57</v>
      </c>
    </row>
    <row r="117" spans="1:8" x14ac:dyDescent="0.3">
      <c r="A117" s="1"/>
      <c r="B117" s="1"/>
      <c r="C117" s="1" t="s">
        <v>118</v>
      </c>
      <c r="D117" s="1"/>
      <c r="E117" s="1"/>
      <c r="F117" s="1"/>
      <c r="G117" s="1"/>
      <c r="H117" s="2">
        <f>ROUND(SUM(H112:H116),5)</f>
        <v>848317.4</v>
      </c>
    </row>
    <row r="118" spans="1:8" x14ac:dyDescent="0.3">
      <c r="A118" s="1"/>
      <c r="B118" s="1"/>
      <c r="C118" s="1" t="s">
        <v>119</v>
      </c>
      <c r="D118" s="1"/>
      <c r="E118" s="1"/>
      <c r="F118" s="1"/>
      <c r="G118" s="1"/>
      <c r="H118" s="2">
        <v>227895.48</v>
      </c>
    </row>
    <row r="119" spans="1:8" x14ac:dyDescent="0.3">
      <c r="A119" s="1"/>
      <c r="B119" s="1"/>
      <c r="C119" s="1" t="s">
        <v>120</v>
      </c>
      <c r="D119" s="1"/>
      <c r="E119" s="1"/>
      <c r="F119" s="1"/>
      <c r="G119" s="1"/>
      <c r="H119" s="2">
        <v>-227895.48</v>
      </c>
    </row>
    <row r="120" spans="1:8" ht="15" thickBot="1" x14ac:dyDescent="0.35">
      <c r="A120" s="1"/>
      <c r="B120" s="1"/>
      <c r="C120" s="1" t="s">
        <v>121</v>
      </c>
      <c r="D120" s="1"/>
      <c r="E120" s="1"/>
      <c r="F120" s="1"/>
      <c r="G120" s="1"/>
      <c r="H120" s="2">
        <v>549578.29</v>
      </c>
    </row>
    <row r="121" spans="1:8" ht="15" thickBot="1" x14ac:dyDescent="0.35">
      <c r="A121" s="1"/>
      <c r="B121" s="1" t="s">
        <v>122</v>
      </c>
      <c r="C121" s="1"/>
      <c r="D121" s="1"/>
      <c r="E121" s="1"/>
      <c r="F121" s="1"/>
      <c r="G121" s="1"/>
      <c r="H121" s="6">
        <f>ROUND(H111+SUM(H117:H120),5)</f>
        <v>1397895.69</v>
      </c>
    </row>
    <row r="122" spans="1:8" s="8" customFormat="1" thickBot="1" x14ac:dyDescent="0.35">
      <c r="A122" s="1" t="s">
        <v>123</v>
      </c>
      <c r="B122" s="1"/>
      <c r="C122" s="1"/>
      <c r="D122" s="1"/>
      <c r="E122" s="1"/>
      <c r="F122" s="1"/>
      <c r="G122" s="1"/>
      <c r="H122" s="7">
        <f>ROUND(H62+H110+H121,5)</f>
        <v>2849676.82</v>
      </c>
    </row>
    <row r="123" spans="1:8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4:55 PM
&amp;"Calibri,Regular"&amp;10 05/14/26&amp;C&amp;"Calibri,Regular"&amp;12 Live Marketing, LLC
&amp;"Calibri,Regular"&amp;14 Balance Sheet
&amp;"Calibri,Regular"&amp;10 As of December 31, 2024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3074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3074" r:id="rId4" name="HEADER"/>
      </mc:Fallback>
    </mc:AlternateContent>
    <mc:AlternateContent xmlns:mc="http://schemas.openxmlformats.org/markup-compatibility/2006">
      <mc:Choice Requires="x14">
        <control shapeId="3073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3073" r:id="rId6" name="FILT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F3C1-F736-450C-8D99-1BFB68DEEE31}">
  <sheetPr codeName="Sheet4"/>
  <dimension ref="A1:I176"/>
  <sheetViews>
    <sheetView workbookViewId="0">
      <pane xSplit="8" ySplit="1" topLeftCell="I2" activePane="bottomRight" state="frozenSplit"/>
      <selection pane="topRight" activeCell="I1" sqref="I1"/>
      <selection pane="bottomLeft" activeCell="A2" sqref="A2"/>
      <selection pane="bottomRight" activeCell="M12" sqref="M12"/>
    </sheetView>
  </sheetViews>
  <sheetFormatPr defaultRowHeight="14.4" x14ac:dyDescent="0.3"/>
  <cols>
    <col min="1" max="7" width="3" style="8" customWidth="1"/>
    <col min="8" max="8" width="35.88671875" style="8" customWidth="1"/>
    <col min="9" max="9" width="11.33203125" bestFit="1" customWidth="1"/>
  </cols>
  <sheetData>
    <row r="1" spans="1:9" s="11" customFormat="1" ht="15" thickBot="1" x14ac:dyDescent="0.35">
      <c r="A1" s="9"/>
      <c r="B1" s="9"/>
      <c r="C1" s="9"/>
      <c r="D1" s="9"/>
      <c r="E1" s="9"/>
      <c r="F1" s="9"/>
      <c r="G1" s="9"/>
      <c r="H1" s="9"/>
      <c r="I1" s="10" t="s">
        <v>316</v>
      </c>
    </row>
    <row r="2" spans="1:9" ht="15" thickTop="1" x14ac:dyDescent="0.3">
      <c r="A2" s="1"/>
      <c r="B2" s="1" t="s">
        <v>301</v>
      </c>
      <c r="C2" s="1"/>
      <c r="D2" s="1"/>
      <c r="E2" s="1"/>
      <c r="F2" s="1"/>
      <c r="G2" s="1"/>
      <c r="H2" s="1"/>
      <c r="I2" s="2"/>
    </row>
    <row r="3" spans="1:9" x14ac:dyDescent="0.3">
      <c r="A3" s="1"/>
      <c r="B3" s="1"/>
      <c r="C3" s="1"/>
      <c r="D3" s="1" t="s">
        <v>300</v>
      </c>
      <c r="E3" s="1"/>
      <c r="F3" s="1"/>
      <c r="G3" s="1"/>
      <c r="H3" s="1"/>
      <c r="I3" s="2"/>
    </row>
    <row r="4" spans="1:9" x14ac:dyDescent="0.3">
      <c r="A4" s="1"/>
      <c r="B4" s="1"/>
      <c r="C4" s="1"/>
      <c r="D4" s="1"/>
      <c r="E4" s="1" t="s">
        <v>299</v>
      </c>
      <c r="F4" s="1"/>
      <c r="G4" s="1"/>
      <c r="H4" s="1"/>
      <c r="I4" s="2"/>
    </row>
    <row r="5" spans="1:9" x14ac:dyDescent="0.3">
      <c r="A5" s="1"/>
      <c r="B5" s="1"/>
      <c r="C5" s="1"/>
      <c r="D5" s="1"/>
      <c r="E5" s="1"/>
      <c r="F5" s="1" t="s">
        <v>298</v>
      </c>
      <c r="G5" s="1"/>
      <c r="H5" s="1"/>
      <c r="I5" s="2">
        <v>26829.7</v>
      </c>
    </row>
    <row r="6" spans="1:9" x14ac:dyDescent="0.3">
      <c r="A6" s="1"/>
      <c r="B6" s="1"/>
      <c r="C6" s="1"/>
      <c r="D6" s="1"/>
      <c r="E6" s="1"/>
      <c r="F6" s="1" t="s">
        <v>297</v>
      </c>
      <c r="G6" s="1"/>
      <c r="H6" s="1"/>
      <c r="I6" s="2">
        <v>16472.96</v>
      </c>
    </row>
    <row r="7" spans="1:9" x14ac:dyDescent="0.3">
      <c r="A7" s="1"/>
      <c r="B7" s="1"/>
      <c r="C7" s="1"/>
      <c r="D7" s="1"/>
      <c r="E7" s="1"/>
      <c r="F7" s="1" t="s">
        <v>296</v>
      </c>
      <c r="G7" s="1"/>
      <c r="H7" s="1"/>
      <c r="I7" s="2">
        <v>346852</v>
      </c>
    </row>
    <row r="8" spans="1:9" x14ac:dyDescent="0.3">
      <c r="A8" s="1"/>
      <c r="B8" s="1"/>
      <c r="C8" s="1"/>
      <c r="D8" s="1"/>
      <c r="E8" s="1"/>
      <c r="F8" s="1" t="s">
        <v>295</v>
      </c>
      <c r="G8" s="1"/>
      <c r="H8" s="1"/>
      <c r="I8" s="2">
        <v>2745200.46</v>
      </c>
    </row>
    <row r="9" spans="1:9" x14ac:dyDescent="0.3">
      <c r="A9" s="1"/>
      <c r="B9" s="1"/>
      <c r="C9" s="1"/>
      <c r="D9" s="1"/>
      <c r="E9" s="1"/>
      <c r="F9" s="1" t="s">
        <v>294</v>
      </c>
      <c r="G9" s="1"/>
      <c r="H9" s="1"/>
      <c r="I9" s="2">
        <v>35869.519999999997</v>
      </c>
    </row>
    <row r="10" spans="1:9" x14ac:dyDescent="0.3">
      <c r="A10" s="1"/>
      <c r="B10" s="1"/>
      <c r="C10" s="1"/>
      <c r="D10" s="1"/>
      <c r="E10" s="1"/>
      <c r="F10" s="1" t="s">
        <v>293</v>
      </c>
      <c r="G10" s="1"/>
      <c r="H10" s="1"/>
      <c r="I10" s="2">
        <v>932295.78</v>
      </c>
    </row>
    <row r="11" spans="1:9" x14ac:dyDescent="0.3">
      <c r="A11" s="1"/>
      <c r="B11" s="1"/>
      <c r="C11" s="1"/>
      <c r="D11" s="1"/>
      <c r="E11" s="1"/>
      <c r="F11" s="1" t="s">
        <v>292</v>
      </c>
      <c r="G11" s="1"/>
      <c r="H11" s="1"/>
      <c r="I11" s="2">
        <v>1155658.51</v>
      </c>
    </row>
    <row r="12" spans="1:9" x14ac:dyDescent="0.3">
      <c r="A12" s="1"/>
      <c r="B12" s="1"/>
      <c r="C12" s="1"/>
      <c r="D12" s="1"/>
      <c r="E12" s="1"/>
      <c r="F12" s="1" t="s">
        <v>291</v>
      </c>
      <c r="G12" s="1"/>
      <c r="H12" s="1"/>
      <c r="I12" s="2">
        <v>570</v>
      </c>
    </row>
    <row r="13" spans="1:9" x14ac:dyDescent="0.3">
      <c r="A13" s="1"/>
      <c r="B13" s="1"/>
      <c r="C13" s="1"/>
      <c r="D13" s="1"/>
      <c r="E13" s="1"/>
      <c r="F13" s="1" t="s">
        <v>290</v>
      </c>
      <c r="G13" s="1"/>
      <c r="H13" s="1"/>
      <c r="I13" s="2">
        <v>-31853.96</v>
      </c>
    </row>
    <row r="14" spans="1:9" x14ac:dyDescent="0.3">
      <c r="A14" s="1"/>
      <c r="B14" s="1"/>
      <c r="C14" s="1"/>
      <c r="D14" s="1"/>
      <c r="E14" s="1"/>
      <c r="F14" s="1" t="s">
        <v>286</v>
      </c>
      <c r="G14" s="1"/>
      <c r="H14" s="1"/>
      <c r="I14" s="2"/>
    </row>
    <row r="15" spans="1:9" x14ac:dyDescent="0.3">
      <c r="A15" s="1"/>
      <c r="B15" s="1"/>
      <c r="C15" s="1"/>
      <c r="D15" s="1"/>
      <c r="E15" s="1"/>
      <c r="F15" s="1"/>
      <c r="G15" s="1" t="s">
        <v>285</v>
      </c>
      <c r="H15" s="1"/>
      <c r="I15" s="2">
        <v>155533.43</v>
      </c>
    </row>
    <row r="16" spans="1:9" ht="15" thickBot="1" x14ac:dyDescent="0.35">
      <c r="A16" s="1"/>
      <c r="B16" s="1"/>
      <c r="C16" s="1"/>
      <c r="D16" s="1"/>
      <c r="E16" s="1"/>
      <c r="F16" s="1"/>
      <c r="G16" s="1" t="s">
        <v>284</v>
      </c>
      <c r="H16" s="1"/>
      <c r="I16" s="5">
        <v>1167016.3700000001</v>
      </c>
    </row>
    <row r="17" spans="1:9" x14ac:dyDescent="0.3">
      <c r="A17" s="1"/>
      <c r="B17" s="1"/>
      <c r="C17" s="1"/>
      <c r="D17" s="1"/>
      <c r="E17" s="1"/>
      <c r="F17" s="1" t="s">
        <v>283</v>
      </c>
      <c r="G17" s="1"/>
      <c r="H17" s="1"/>
      <c r="I17" s="2">
        <f>ROUND(SUM(I14:I16),5)</f>
        <v>1322549.8</v>
      </c>
    </row>
    <row r="18" spans="1:9" ht="15" thickBot="1" x14ac:dyDescent="0.35">
      <c r="A18" s="1"/>
      <c r="B18" s="1"/>
      <c r="C18" s="1"/>
      <c r="D18" s="1"/>
      <c r="E18" s="1"/>
      <c r="F18" s="1" t="s">
        <v>315</v>
      </c>
      <c r="G18" s="1"/>
      <c r="H18" s="1"/>
      <c r="I18" s="2">
        <v>3497.5</v>
      </c>
    </row>
    <row r="19" spans="1:9" ht="15" thickBot="1" x14ac:dyDescent="0.35">
      <c r="A19" s="1"/>
      <c r="B19" s="1"/>
      <c r="C19" s="1"/>
      <c r="D19" s="1"/>
      <c r="E19" s="1" t="s">
        <v>282</v>
      </c>
      <c r="F19" s="1"/>
      <c r="G19" s="1"/>
      <c r="H19" s="1"/>
      <c r="I19" s="4">
        <f>ROUND(SUM(I4:I13)+SUM(I17:I18),5)</f>
        <v>6553942.2699999996</v>
      </c>
    </row>
    <row r="20" spans="1:9" x14ac:dyDescent="0.3">
      <c r="A20" s="1"/>
      <c r="B20" s="1"/>
      <c r="C20" s="1"/>
      <c r="D20" s="1" t="s">
        <v>281</v>
      </c>
      <c r="E20" s="1"/>
      <c r="F20" s="1"/>
      <c r="G20" s="1"/>
      <c r="H20" s="1"/>
      <c r="I20" s="2">
        <f>ROUND(I3+I19,5)</f>
        <v>6553942.2699999996</v>
      </c>
    </row>
    <row r="21" spans="1:9" x14ac:dyDescent="0.3">
      <c r="A21" s="1"/>
      <c r="B21" s="1"/>
      <c r="C21" s="1"/>
      <c r="D21" s="1" t="s">
        <v>280</v>
      </c>
      <c r="E21" s="1"/>
      <c r="F21" s="1"/>
      <c r="G21" s="1"/>
      <c r="H21" s="1"/>
      <c r="I21" s="2"/>
    </row>
    <row r="22" spans="1:9" x14ac:dyDescent="0.3">
      <c r="A22" s="1"/>
      <c r="B22" s="1"/>
      <c r="C22" s="1"/>
      <c r="D22" s="1"/>
      <c r="E22" s="1" t="s">
        <v>279</v>
      </c>
      <c r="F22" s="1"/>
      <c r="G22" s="1"/>
      <c r="H22" s="1"/>
      <c r="I22" s="2"/>
    </row>
    <row r="23" spans="1:9" x14ac:dyDescent="0.3">
      <c r="A23" s="1"/>
      <c r="B23" s="1"/>
      <c r="C23" s="1"/>
      <c r="D23" s="1"/>
      <c r="E23" s="1"/>
      <c r="F23" s="1" t="s">
        <v>278</v>
      </c>
      <c r="G23" s="1"/>
      <c r="H23" s="1"/>
      <c r="I23" s="2"/>
    </row>
    <row r="24" spans="1:9" x14ac:dyDescent="0.3">
      <c r="A24" s="1"/>
      <c r="B24" s="1"/>
      <c r="C24" s="1"/>
      <c r="D24" s="1"/>
      <c r="E24" s="1"/>
      <c r="F24" s="1"/>
      <c r="G24" s="1" t="s">
        <v>277</v>
      </c>
      <c r="H24" s="1"/>
      <c r="I24" s="2">
        <v>115953.81</v>
      </c>
    </row>
    <row r="25" spans="1:9" x14ac:dyDescent="0.3">
      <c r="A25" s="1"/>
      <c r="B25" s="1"/>
      <c r="C25" s="1"/>
      <c r="D25" s="1"/>
      <c r="E25" s="1"/>
      <c r="F25" s="1"/>
      <c r="G25" s="1" t="s">
        <v>276</v>
      </c>
      <c r="H25" s="1"/>
      <c r="I25" s="2">
        <v>22070.1</v>
      </c>
    </row>
    <row r="26" spans="1:9" x14ac:dyDescent="0.3">
      <c r="A26" s="1"/>
      <c r="B26" s="1"/>
      <c r="C26" s="1"/>
      <c r="D26" s="1"/>
      <c r="E26" s="1"/>
      <c r="F26" s="1"/>
      <c r="G26" s="1" t="s">
        <v>275</v>
      </c>
      <c r="H26" s="1"/>
      <c r="I26" s="2">
        <v>91276.61</v>
      </c>
    </row>
    <row r="27" spans="1:9" x14ac:dyDescent="0.3">
      <c r="A27" s="1"/>
      <c r="B27" s="1"/>
      <c r="C27" s="1"/>
      <c r="D27" s="1"/>
      <c r="E27" s="1"/>
      <c r="F27" s="1"/>
      <c r="G27" s="1" t="s">
        <v>274</v>
      </c>
      <c r="H27" s="1"/>
      <c r="I27" s="2">
        <v>137507.24</v>
      </c>
    </row>
    <row r="28" spans="1:9" x14ac:dyDescent="0.3">
      <c r="A28" s="1"/>
      <c r="B28" s="1"/>
      <c r="C28" s="1"/>
      <c r="D28" s="1"/>
      <c r="E28" s="1"/>
      <c r="F28" s="1"/>
      <c r="G28" s="1" t="s">
        <v>273</v>
      </c>
      <c r="H28" s="1"/>
      <c r="I28" s="2">
        <v>948648.86</v>
      </c>
    </row>
    <row r="29" spans="1:9" x14ac:dyDescent="0.3">
      <c r="A29" s="1"/>
      <c r="B29" s="1"/>
      <c r="C29" s="1"/>
      <c r="D29" s="1"/>
      <c r="E29" s="1"/>
      <c r="F29" s="1"/>
      <c r="G29" s="1" t="s">
        <v>272</v>
      </c>
      <c r="H29" s="1"/>
      <c r="I29" s="2">
        <v>9409.39</v>
      </c>
    </row>
    <row r="30" spans="1:9" x14ac:dyDescent="0.3">
      <c r="A30" s="1"/>
      <c r="B30" s="1"/>
      <c r="C30" s="1"/>
      <c r="D30" s="1"/>
      <c r="E30" s="1"/>
      <c r="F30" s="1"/>
      <c r="G30" s="1" t="s">
        <v>271</v>
      </c>
      <c r="H30" s="1"/>
      <c r="I30" s="2">
        <v>21459.62</v>
      </c>
    </row>
    <row r="31" spans="1:9" ht="15" thickBot="1" x14ac:dyDescent="0.35">
      <c r="A31" s="1"/>
      <c r="B31" s="1"/>
      <c r="C31" s="1"/>
      <c r="D31" s="1"/>
      <c r="E31" s="1"/>
      <c r="F31" s="1"/>
      <c r="G31" s="1" t="s">
        <v>314</v>
      </c>
      <c r="H31" s="1"/>
      <c r="I31" s="5">
        <v>0</v>
      </c>
    </row>
    <row r="32" spans="1:9" x14ac:dyDescent="0.3">
      <c r="A32" s="1"/>
      <c r="B32" s="1"/>
      <c r="C32" s="1"/>
      <c r="D32" s="1"/>
      <c r="E32" s="1"/>
      <c r="F32" s="1" t="s">
        <v>270</v>
      </c>
      <c r="G32" s="1"/>
      <c r="H32" s="1"/>
      <c r="I32" s="2">
        <f>ROUND(SUM(I23:I31),5)</f>
        <v>1346325.63</v>
      </c>
    </row>
    <row r="33" spans="1:9" x14ac:dyDescent="0.3">
      <c r="A33" s="1"/>
      <c r="B33" s="1"/>
      <c r="C33" s="1"/>
      <c r="D33" s="1"/>
      <c r="E33" s="1"/>
      <c r="F33" s="1" t="s">
        <v>269</v>
      </c>
      <c r="G33" s="1"/>
      <c r="H33" s="1"/>
      <c r="I33" s="2"/>
    </row>
    <row r="34" spans="1:9" x14ac:dyDescent="0.3">
      <c r="A34" s="1"/>
      <c r="B34" s="1"/>
      <c r="C34" s="1"/>
      <c r="D34" s="1"/>
      <c r="E34" s="1"/>
      <c r="F34" s="1"/>
      <c r="G34" s="1" t="s">
        <v>268</v>
      </c>
      <c r="H34" s="1"/>
      <c r="I34" s="2">
        <v>0</v>
      </c>
    </row>
    <row r="35" spans="1:9" x14ac:dyDescent="0.3">
      <c r="A35" s="1"/>
      <c r="B35" s="1"/>
      <c r="C35" s="1"/>
      <c r="D35" s="1"/>
      <c r="E35" s="1"/>
      <c r="F35" s="1"/>
      <c r="G35" s="1" t="s">
        <v>267</v>
      </c>
      <c r="H35" s="1"/>
      <c r="I35" s="2">
        <v>277980.78999999998</v>
      </c>
    </row>
    <row r="36" spans="1:9" x14ac:dyDescent="0.3">
      <c r="A36" s="1"/>
      <c r="B36" s="1"/>
      <c r="C36" s="1"/>
      <c r="D36" s="1"/>
      <c r="E36" s="1"/>
      <c r="F36" s="1"/>
      <c r="G36" s="1" t="s">
        <v>266</v>
      </c>
      <c r="H36" s="1"/>
      <c r="I36" s="2">
        <v>11893.15</v>
      </c>
    </row>
    <row r="37" spans="1:9" x14ac:dyDescent="0.3">
      <c r="A37" s="1"/>
      <c r="B37" s="1"/>
      <c r="C37" s="1"/>
      <c r="D37" s="1"/>
      <c r="E37" s="1"/>
      <c r="F37" s="1"/>
      <c r="G37" s="1" t="s">
        <v>313</v>
      </c>
      <c r="H37" s="1"/>
      <c r="I37" s="2">
        <v>2081.5700000000002</v>
      </c>
    </row>
    <row r="38" spans="1:9" x14ac:dyDescent="0.3">
      <c r="A38" s="1"/>
      <c r="B38" s="1"/>
      <c r="C38" s="1"/>
      <c r="D38" s="1"/>
      <c r="E38" s="1"/>
      <c r="F38" s="1"/>
      <c r="G38" s="1" t="s">
        <v>312</v>
      </c>
      <c r="H38" s="1"/>
      <c r="I38" s="2">
        <v>0</v>
      </c>
    </row>
    <row r="39" spans="1:9" x14ac:dyDescent="0.3">
      <c r="A39" s="1"/>
      <c r="B39" s="1"/>
      <c r="C39" s="1"/>
      <c r="D39" s="1"/>
      <c r="E39" s="1"/>
      <c r="F39" s="1"/>
      <c r="G39" s="1" t="s">
        <v>265</v>
      </c>
      <c r="H39" s="1"/>
      <c r="I39" s="2">
        <v>38501.47</v>
      </c>
    </row>
    <row r="40" spans="1:9" x14ac:dyDescent="0.3">
      <c r="A40" s="1"/>
      <c r="B40" s="1"/>
      <c r="C40" s="1"/>
      <c r="D40" s="1"/>
      <c r="E40" s="1"/>
      <c r="F40" s="1"/>
      <c r="G40" s="1" t="s">
        <v>264</v>
      </c>
      <c r="H40" s="1"/>
      <c r="I40" s="2">
        <v>138328.46</v>
      </c>
    </row>
    <row r="41" spans="1:9" x14ac:dyDescent="0.3">
      <c r="A41" s="1"/>
      <c r="B41" s="1"/>
      <c r="C41" s="1"/>
      <c r="D41" s="1"/>
      <c r="E41" s="1"/>
      <c r="F41" s="1"/>
      <c r="G41" s="1" t="s">
        <v>263</v>
      </c>
      <c r="H41" s="1"/>
      <c r="I41" s="2">
        <v>150536.51999999999</v>
      </c>
    </row>
    <row r="42" spans="1:9" x14ac:dyDescent="0.3">
      <c r="A42" s="1"/>
      <c r="B42" s="1"/>
      <c r="C42" s="1"/>
      <c r="D42" s="1"/>
      <c r="E42" s="1"/>
      <c r="F42" s="1"/>
      <c r="G42" s="1" t="s">
        <v>262</v>
      </c>
      <c r="H42" s="1"/>
      <c r="I42" s="2">
        <v>165</v>
      </c>
    </row>
    <row r="43" spans="1:9" ht="15" thickBot="1" x14ac:dyDescent="0.35">
      <c r="A43" s="1"/>
      <c r="B43" s="1"/>
      <c r="C43" s="1"/>
      <c r="D43" s="1"/>
      <c r="E43" s="1"/>
      <c r="F43" s="1"/>
      <c r="G43" s="1" t="s">
        <v>261</v>
      </c>
      <c r="H43" s="1"/>
      <c r="I43" s="5">
        <v>73905.31</v>
      </c>
    </row>
    <row r="44" spans="1:9" x14ac:dyDescent="0.3">
      <c r="A44" s="1"/>
      <c r="B44" s="1"/>
      <c r="C44" s="1"/>
      <c r="D44" s="1"/>
      <c r="E44" s="1"/>
      <c r="F44" s="1" t="s">
        <v>259</v>
      </c>
      <c r="G44" s="1"/>
      <c r="H44" s="1"/>
      <c r="I44" s="2">
        <f>ROUND(SUM(I33:I43),5)</f>
        <v>693392.27</v>
      </c>
    </row>
    <row r="45" spans="1:9" x14ac:dyDescent="0.3">
      <c r="A45" s="1"/>
      <c r="B45" s="1"/>
      <c r="C45" s="1"/>
      <c r="D45" s="1"/>
      <c r="E45" s="1"/>
      <c r="F45" s="1" t="s">
        <v>258</v>
      </c>
      <c r="G45" s="1"/>
      <c r="H45" s="1"/>
      <c r="I45" s="2"/>
    </row>
    <row r="46" spans="1:9" x14ac:dyDescent="0.3">
      <c r="A46" s="1"/>
      <c r="B46" s="1"/>
      <c r="C46" s="1"/>
      <c r="D46" s="1"/>
      <c r="E46" s="1"/>
      <c r="F46" s="1"/>
      <c r="G46" s="1" t="s">
        <v>257</v>
      </c>
      <c r="H46" s="1"/>
      <c r="I46" s="2">
        <v>1149957.92</v>
      </c>
    </row>
    <row r="47" spans="1:9" x14ac:dyDescent="0.3">
      <c r="A47" s="1"/>
      <c r="B47" s="1"/>
      <c r="C47" s="1"/>
      <c r="D47" s="1"/>
      <c r="E47" s="1"/>
      <c r="F47" s="1"/>
      <c r="G47" s="1" t="s">
        <v>256</v>
      </c>
      <c r="H47" s="1"/>
      <c r="I47" s="2">
        <v>28871.91</v>
      </c>
    </row>
    <row r="48" spans="1:9" x14ac:dyDescent="0.3">
      <c r="A48" s="1"/>
      <c r="B48" s="1"/>
      <c r="C48" s="1"/>
      <c r="D48" s="1"/>
      <c r="E48" s="1"/>
      <c r="F48" s="1"/>
      <c r="G48" s="1" t="s">
        <v>311</v>
      </c>
      <c r="H48" s="1"/>
      <c r="I48" s="2">
        <v>952</v>
      </c>
    </row>
    <row r="49" spans="1:9" x14ac:dyDescent="0.3">
      <c r="A49" s="1"/>
      <c r="B49" s="1"/>
      <c r="C49" s="1"/>
      <c r="D49" s="1"/>
      <c r="E49" s="1"/>
      <c r="F49" s="1"/>
      <c r="G49" s="1" t="s">
        <v>310</v>
      </c>
      <c r="H49" s="1"/>
      <c r="I49" s="2">
        <v>3805.74</v>
      </c>
    </row>
    <row r="50" spans="1:9" ht="15" thickBot="1" x14ac:dyDescent="0.35">
      <c r="A50" s="1"/>
      <c r="B50" s="1"/>
      <c r="C50" s="1"/>
      <c r="D50" s="1"/>
      <c r="E50" s="1"/>
      <c r="F50" s="1"/>
      <c r="G50" s="1" t="s">
        <v>255</v>
      </c>
      <c r="H50" s="1"/>
      <c r="I50" s="2">
        <v>57766.14</v>
      </c>
    </row>
    <row r="51" spans="1:9" ht="15" thickBot="1" x14ac:dyDescent="0.35">
      <c r="A51" s="1"/>
      <c r="B51" s="1"/>
      <c r="C51" s="1"/>
      <c r="D51" s="1"/>
      <c r="E51" s="1"/>
      <c r="F51" s="1" t="s">
        <v>254</v>
      </c>
      <c r="G51" s="1"/>
      <c r="H51" s="1"/>
      <c r="I51" s="6">
        <f>ROUND(SUM(I45:I50),5)</f>
        <v>1241353.71</v>
      </c>
    </row>
    <row r="52" spans="1:9" ht="15" thickBot="1" x14ac:dyDescent="0.35">
      <c r="A52" s="1"/>
      <c r="B52" s="1"/>
      <c r="C52" s="1"/>
      <c r="D52" s="1"/>
      <c r="E52" s="1" t="s">
        <v>253</v>
      </c>
      <c r="F52" s="1"/>
      <c r="G52" s="1"/>
      <c r="H52" s="1"/>
      <c r="I52" s="6">
        <f>ROUND(I22+I32+I44+I51,5)</f>
        <v>3281071.61</v>
      </c>
    </row>
    <row r="53" spans="1:9" ht="15" thickBot="1" x14ac:dyDescent="0.35">
      <c r="A53" s="1"/>
      <c r="B53" s="1"/>
      <c r="C53" s="1"/>
      <c r="D53" s="1" t="s">
        <v>252</v>
      </c>
      <c r="E53" s="1"/>
      <c r="F53" s="1"/>
      <c r="G53" s="1"/>
      <c r="H53" s="1"/>
      <c r="I53" s="4">
        <f>ROUND(I21+I52,5)</f>
        <v>3281071.61</v>
      </c>
    </row>
    <row r="54" spans="1:9" x14ac:dyDescent="0.3">
      <c r="A54" s="1"/>
      <c r="B54" s="1"/>
      <c r="C54" s="1" t="s">
        <v>251</v>
      </c>
      <c r="D54" s="1"/>
      <c r="E54" s="1"/>
      <c r="F54" s="1"/>
      <c r="G54" s="1"/>
      <c r="H54" s="1"/>
      <c r="I54" s="2">
        <f>ROUND(I20-I53,5)</f>
        <v>3272870.66</v>
      </c>
    </row>
    <row r="55" spans="1:9" x14ac:dyDescent="0.3">
      <c r="A55" s="1"/>
      <c r="B55" s="1"/>
      <c r="C55" s="1"/>
      <c r="D55" s="1" t="s">
        <v>250</v>
      </c>
      <c r="E55" s="1"/>
      <c r="F55" s="1"/>
      <c r="G55" s="1"/>
      <c r="H55" s="1"/>
      <c r="I55" s="2"/>
    </row>
    <row r="56" spans="1:9" x14ac:dyDescent="0.3">
      <c r="A56" s="1"/>
      <c r="B56" s="1"/>
      <c r="C56" s="1"/>
      <c r="D56" s="1"/>
      <c r="E56" s="1" t="s">
        <v>249</v>
      </c>
      <c r="F56" s="1"/>
      <c r="G56" s="1"/>
      <c r="H56" s="1"/>
      <c r="I56" s="2"/>
    </row>
    <row r="57" spans="1:9" x14ac:dyDescent="0.3">
      <c r="A57" s="1"/>
      <c r="B57" s="1"/>
      <c r="C57" s="1"/>
      <c r="D57" s="1"/>
      <c r="E57" s="1"/>
      <c r="F57" s="1" t="s">
        <v>248</v>
      </c>
      <c r="G57" s="1"/>
      <c r="H57" s="1"/>
      <c r="I57" s="2">
        <v>11849.4</v>
      </c>
    </row>
    <row r="58" spans="1:9" x14ac:dyDescent="0.3">
      <c r="A58" s="1"/>
      <c r="B58" s="1"/>
      <c r="C58" s="1"/>
      <c r="D58" s="1"/>
      <c r="E58" s="1"/>
      <c r="F58" s="1" t="s">
        <v>247</v>
      </c>
      <c r="G58" s="1"/>
      <c r="H58" s="1"/>
      <c r="I58" s="2"/>
    </row>
    <row r="59" spans="1:9" x14ac:dyDescent="0.3">
      <c r="A59" s="1"/>
      <c r="B59" s="1"/>
      <c r="C59" s="1"/>
      <c r="D59" s="1"/>
      <c r="E59" s="1"/>
      <c r="F59" s="1"/>
      <c r="G59" s="1" t="s">
        <v>246</v>
      </c>
      <c r="H59" s="1"/>
      <c r="I59" s="2">
        <v>6171.49</v>
      </c>
    </row>
    <row r="60" spans="1:9" x14ac:dyDescent="0.3">
      <c r="A60" s="1"/>
      <c r="B60" s="1"/>
      <c r="C60" s="1"/>
      <c r="D60" s="1"/>
      <c r="E60" s="1"/>
      <c r="F60" s="1"/>
      <c r="G60" s="1" t="s">
        <v>245</v>
      </c>
      <c r="H60" s="1"/>
      <c r="I60" s="2">
        <v>30324.52</v>
      </c>
    </row>
    <row r="61" spans="1:9" x14ac:dyDescent="0.3">
      <c r="A61" s="1"/>
      <c r="B61" s="1"/>
      <c r="C61" s="1"/>
      <c r="D61" s="1"/>
      <c r="E61" s="1"/>
      <c r="F61" s="1"/>
      <c r="G61" s="1" t="s">
        <v>244</v>
      </c>
      <c r="H61" s="1"/>
      <c r="I61" s="2">
        <v>13583.19</v>
      </c>
    </row>
    <row r="62" spans="1:9" ht="15" thickBot="1" x14ac:dyDescent="0.35">
      <c r="A62" s="1"/>
      <c r="B62" s="1"/>
      <c r="C62" s="1"/>
      <c r="D62" s="1"/>
      <c r="E62" s="1"/>
      <c r="F62" s="1"/>
      <c r="G62" s="1" t="s">
        <v>243</v>
      </c>
      <c r="H62" s="1"/>
      <c r="I62" s="5">
        <v>1013.15</v>
      </c>
    </row>
    <row r="63" spans="1:9" x14ac:dyDescent="0.3">
      <c r="A63" s="1"/>
      <c r="B63" s="1"/>
      <c r="C63" s="1"/>
      <c r="D63" s="1"/>
      <c r="E63" s="1"/>
      <c r="F63" s="1" t="s">
        <v>242</v>
      </c>
      <c r="G63" s="1"/>
      <c r="H63" s="1"/>
      <c r="I63" s="2">
        <f>ROUND(SUM(I58:I62),5)</f>
        <v>51092.35</v>
      </c>
    </row>
    <row r="64" spans="1:9" x14ac:dyDescent="0.3">
      <c r="A64" s="1"/>
      <c r="B64" s="1"/>
      <c r="C64" s="1"/>
      <c r="D64" s="1"/>
      <c r="E64" s="1"/>
      <c r="F64" s="1" t="s">
        <v>241</v>
      </c>
      <c r="G64" s="1"/>
      <c r="H64" s="1"/>
      <c r="I64" s="2">
        <v>42317.03</v>
      </c>
    </row>
    <row r="65" spans="1:9" x14ac:dyDescent="0.3">
      <c r="A65" s="1"/>
      <c r="B65" s="1"/>
      <c r="C65" s="1"/>
      <c r="D65" s="1"/>
      <c r="E65" s="1"/>
      <c r="F65" s="1" t="s">
        <v>240</v>
      </c>
      <c r="G65" s="1"/>
      <c r="H65" s="1"/>
      <c r="I65" s="2">
        <v>56310.62</v>
      </c>
    </row>
    <row r="66" spans="1:9" x14ac:dyDescent="0.3">
      <c r="A66" s="1"/>
      <c r="B66" s="1"/>
      <c r="C66" s="1"/>
      <c r="D66" s="1"/>
      <c r="E66" s="1"/>
      <c r="F66" s="1" t="s">
        <v>239</v>
      </c>
      <c r="G66" s="1"/>
      <c r="H66" s="1"/>
      <c r="I66" s="2">
        <v>50024.78</v>
      </c>
    </row>
    <row r="67" spans="1:9" x14ac:dyDescent="0.3">
      <c r="A67" s="1"/>
      <c r="B67" s="1"/>
      <c r="C67" s="1"/>
      <c r="D67" s="1"/>
      <c r="E67" s="1"/>
      <c r="F67" s="1" t="s">
        <v>238</v>
      </c>
      <c r="G67" s="1"/>
      <c r="H67" s="1"/>
      <c r="I67" s="2">
        <v>35373.93</v>
      </c>
    </row>
    <row r="68" spans="1:9" x14ac:dyDescent="0.3">
      <c r="A68" s="1"/>
      <c r="B68" s="1"/>
      <c r="C68" s="1"/>
      <c r="D68" s="1"/>
      <c r="E68" s="1"/>
      <c r="F68" s="1" t="s">
        <v>237</v>
      </c>
      <c r="G68" s="1"/>
      <c r="H68" s="1"/>
      <c r="I68" s="2"/>
    </row>
    <row r="69" spans="1:9" x14ac:dyDescent="0.3">
      <c r="A69" s="1"/>
      <c r="B69" s="1"/>
      <c r="C69" s="1"/>
      <c r="D69" s="1"/>
      <c r="E69" s="1"/>
      <c r="F69" s="1"/>
      <c r="G69" s="1" t="s">
        <v>236</v>
      </c>
      <c r="H69" s="1"/>
      <c r="I69" s="2">
        <v>12129.32</v>
      </c>
    </row>
    <row r="70" spans="1:9" x14ac:dyDescent="0.3">
      <c r="A70" s="1"/>
      <c r="B70" s="1"/>
      <c r="C70" s="1"/>
      <c r="D70" s="1"/>
      <c r="E70" s="1"/>
      <c r="F70" s="1"/>
      <c r="G70" s="1" t="s">
        <v>235</v>
      </c>
      <c r="H70" s="1"/>
      <c r="I70" s="2">
        <v>8518.5400000000009</v>
      </c>
    </row>
    <row r="71" spans="1:9" x14ac:dyDescent="0.3">
      <c r="A71" s="1"/>
      <c r="B71" s="1"/>
      <c r="C71" s="1"/>
      <c r="D71" s="1"/>
      <c r="E71" s="1"/>
      <c r="F71" s="1"/>
      <c r="G71" s="1" t="s">
        <v>234</v>
      </c>
      <c r="H71" s="1"/>
      <c r="I71" s="2">
        <v>8831.92</v>
      </c>
    </row>
    <row r="72" spans="1:9" x14ac:dyDescent="0.3">
      <c r="A72" s="1"/>
      <c r="B72" s="1"/>
      <c r="C72" s="1"/>
      <c r="D72" s="1"/>
      <c r="E72" s="1"/>
      <c r="F72" s="1"/>
      <c r="G72" s="1" t="s">
        <v>233</v>
      </c>
      <c r="H72" s="1"/>
      <c r="I72" s="2">
        <v>11451.87</v>
      </c>
    </row>
    <row r="73" spans="1:9" ht="15" thickBot="1" x14ac:dyDescent="0.35">
      <c r="A73" s="1"/>
      <c r="B73" s="1"/>
      <c r="C73" s="1"/>
      <c r="D73" s="1"/>
      <c r="E73" s="1"/>
      <c r="F73" s="1"/>
      <c r="G73" s="1" t="s">
        <v>232</v>
      </c>
      <c r="H73" s="1"/>
      <c r="I73" s="5">
        <v>9111.57</v>
      </c>
    </row>
    <row r="74" spans="1:9" x14ac:dyDescent="0.3">
      <c r="A74" s="1"/>
      <c r="B74" s="1"/>
      <c r="C74" s="1"/>
      <c r="D74" s="1"/>
      <c r="E74" s="1"/>
      <c r="F74" s="1" t="s">
        <v>230</v>
      </c>
      <c r="G74" s="1"/>
      <c r="H74" s="1"/>
      <c r="I74" s="2">
        <f>ROUND(SUM(I68:I73),5)</f>
        <v>50043.22</v>
      </c>
    </row>
    <row r="75" spans="1:9" ht="15" thickBot="1" x14ac:dyDescent="0.35">
      <c r="A75" s="1"/>
      <c r="B75" s="1"/>
      <c r="C75" s="1"/>
      <c r="D75" s="1"/>
      <c r="E75" s="1"/>
      <c r="F75" s="1" t="s">
        <v>229</v>
      </c>
      <c r="G75" s="1"/>
      <c r="H75" s="1"/>
      <c r="I75" s="5">
        <v>542.11</v>
      </c>
    </row>
    <row r="76" spans="1:9" x14ac:dyDescent="0.3">
      <c r="A76" s="1"/>
      <c r="B76" s="1"/>
      <c r="C76" s="1"/>
      <c r="D76" s="1"/>
      <c r="E76" s="1" t="s">
        <v>228</v>
      </c>
      <c r="F76" s="1"/>
      <c r="G76" s="1"/>
      <c r="H76" s="1"/>
      <c r="I76" s="2">
        <f>ROUND(SUM(I56:I57)+SUM(I63:I67)+SUM(I74:I75),5)</f>
        <v>297553.44</v>
      </c>
    </row>
    <row r="77" spans="1:9" x14ac:dyDescent="0.3">
      <c r="A77" s="1"/>
      <c r="B77" s="1"/>
      <c r="C77" s="1"/>
      <c r="D77" s="1"/>
      <c r="E77" s="1" t="s">
        <v>227</v>
      </c>
      <c r="F77" s="1"/>
      <c r="G77" s="1"/>
      <c r="H77" s="1"/>
      <c r="I77" s="2"/>
    </row>
    <row r="78" spans="1:9" x14ac:dyDescent="0.3">
      <c r="A78" s="1"/>
      <c r="B78" s="1"/>
      <c r="C78" s="1"/>
      <c r="D78" s="1"/>
      <c r="E78" s="1"/>
      <c r="F78" s="1" t="s">
        <v>226</v>
      </c>
      <c r="G78" s="1"/>
      <c r="H78" s="1"/>
      <c r="I78" s="2">
        <v>20678.37</v>
      </c>
    </row>
    <row r="79" spans="1:9" x14ac:dyDescent="0.3">
      <c r="A79" s="1"/>
      <c r="B79" s="1"/>
      <c r="C79" s="1"/>
      <c r="D79" s="1"/>
      <c r="E79" s="1"/>
      <c r="F79" s="1" t="s">
        <v>225</v>
      </c>
      <c r="G79" s="1"/>
      <c r="H79" s="1"/>
      <c r="I79" s="2">
        <v>81196.78</v>
      </c>
    </row>
    <row r="80" spans="1:9" x14ac:dyDescent="0.3">
      <c r="A80" s="1"/>
      <c r="B80" s="1"/>
      <c r="C80" s="1"/>
      <c r="D80" s="1"/>
      <c r="E80" s="1"/>
      <c r="F80" s="1" t="s">
        <v>224</v>
      </c>
      <c r="G80" s="1"/>
      <c r="H80" s="1"/>
      <c r="I80" s="2">
        <v>7450.64</v>
      </c>
    </row>
    <row r="81" spans="1:9" x14ac:dyDescent="0.3">
      <c r="A81" s="1"/>
      <c r="B81" s="1"/>
      <c r="C81" s="1"/>
      <c r="D81" s="1"/>
      <c r="E81" s="1"/>
      <c r="F81" s="1" t="s">
        <v>223</v>
      </c>
      <c r="G81" s="1"/>
      <c r="H81" s="1"/>
      <c r="I81" s="2">
        <v>15548.62</v>
      </c>
    </row>
    <row r="82" spans="1:9" x14ac:dyDescent="0.3">
      <c r="A82" s="1"/>
      <c r="B82" s="1"/>
      <c r="C82" s="1"/>
      <c r="D82" s="1"/>
      <c r="E82" s="1"/>
      <c r="F82" s="1" t="s">
        <v>222</v>
      </c>
      <c r="G82" s="1"/>
      <c r="H82" s="1"/>
      <c r="I82" s="2">
        <v>40117.26</v>
      </c>
    </row>
    <row r="83" spans="1:9" x14ac:dyDescent="0.3">
      <c r="A83" s="1"/>
      <c r="B83" s="1"/>
      <c r="C83" s="1"/>
      <c r="D83" s="1"/>
      <c r="E83" s="1"/>
      <c r="F83" s="1" t="s">
        <v>221</v>
      </c>
      <c r="G83" s="1"/>
      <c r="H83" s="1"/>
      <c r="I83" s="2"/>
    </row>
    <row r="84" spans="1:9" x14ac:dyDescent="0.3">
      <c r="A84" s="1"/>
      <c r="B84" s="1"/>
      <c r="C84" s="1"/>
      <c r="D84" s="1"/>
      <c r="E84" s="1"/>
      <c r="F84" s="1"/>
      <c r="G84" s="1" t="s">
        <v>220</v>
      </c>
      <c r="H84" s="1"/>
      <c r="I84" s="2">
        <v>23978.47</v>
      </c>
    </row>
    <row r="85" spans="1:9" x14ac:dyDescent="0.3">
      <c r="A85" s="1"/>
      <c r="B85" s="1"/>
      <c r="C85" s="1"/>
      <c r="D85" s="1"/>
      <c r="E85" s="1"/>
      <c r="F85" s="1"/>
      <c r="G85" s="1" t="s">
        <v>219</v>
      </c>
      <c r="H85" s="1"/>
      <c r="I85" s="2">
        <v>35270.410000000003</v>
      </c>
    </row>
    <row r="86" spans="1:9" x14ac:dyDescent="0.3">
      <c r="A86" s="1"/>
      <c r="B86" s="1"/>
      <c r="C86" s="1"/>
      <c r="D86" s="1"/>
      <c r="E86" s="1"/>
      <c r="F86" s="1"/>
      <c r="G86" s="1" t="s">
        <v>218</v>
      </c>
      <c r="H86" s="1"/>
      <c r="I86" s="2">
        <v>2900.73</v>
      </c>
    </row>
    <row r="87" spans="1:9" x14ac:dyDescent="0.3">
      <c r="A87" s="1"/>
      <c r="B87" s="1"/>
      <c r="C87" s="1"/>
      <c r="D87" s="1"/>
      <c r="E87" s="1"/>
      <c r="F87" s="1"/>
      <c r="G87" s="1" t="s">
        <v>217</v>
      </c>
      <c r="H87" s="1"/>
      <c r="I87" s="2">
        <v>10591.19</v>
      </c>
    </row>
    <row r="88" spans="1:9" x14ac:dyDescent="0.3">
      <c r="A88" s="1"/>
      <c r="B88" s="1"/>
      <c r="C88" s="1"/>
      <c r="D88" s="1"/>
      <c r="E88" s="1"/>
      <c r="F88" s="1"/>
      <c r="G88" s="1" t="s">
        <v>216</v>
      </c>
      <c r="H88" s="1"/>
      <c r="I88" s="2">
        <v>21939.19</v>
      </c>
    </row>
    <row r="89" spans="1:9" ht="15" thickBot="1" x14ac:dyDescent="0.35">
      <c r="A89" s="1"/>
      <c r="B89" s="1"/>
      <c r="C89" s="1"/>
      <c r="D89" s="1"/>
      <c r="E89" s="1"/>
      <c r="F89" s="1"/>
      <c r="G89" s="1" t="s">
        <v>309</v>
      </c>
      <c r="H89" s="1"/>
      <c r="I89" s="5">
        <v>4418.16</v>
      </c>
    </row>
    <row r="90" spans="1:9" x14ac:dyDescent="0.3">
      <c r="A90" s="1"/>
      <c r="B90" s="1"/>
      <c r="C90" s="1"/>
      <c r="D90" s="1"/>
      <c r="E90" s="1"/>
      <c r="F90" s="1" t="s">
        <v>215</v>
      </c>
      <c r="G90" s="1"/>
      <c r="H90" s="1"/>
      <c r="I90" s="2">
        <f>ROUND(SUM(I83:I89),5)</f>
        <v>99098.15</v>
      </c>
    </row>
    <row r="91" spans="1:9" x14ac:dyDescent="0.3">
      <c r="A91" s="1"/>
      <c r="B91" s="1"/>
      <c r="C91" s="1"/>
      <c r="D91" s="1"/>
      <c r="E91" s="1"/>
      <c r="F91" s="1" t="s">
        <v>214</v>
      </c>
      <c r="G91" s="1"/>
      <c r="H91" s="1"/>
      <c r="I91" s="2"/>
    </row>
    <row r="92" spans="1:9" x14ac:dyDescent="0.3">
      <c r="A92" s="1"/>
      <c r="B92" s="1"/>
      <c r="C92" s="1"/>
      <c r="D92" s="1"/>
      <c r="E92" s="1"/>
      <c r="F92" s="1"/>
      <c r="G92" s="1" t="s">
        <v>213</v>
      </c>
      <c r="H92" s="1"/>
      <c r="I92" s="2">
        <v>20250</v>
      </c>
    </row>
    <row r="93" spans="1:9" x14ac:dyDescent="0.3">
      <c r="A93" s="1"/>
      <c r="B93" s="1"/>
      <c r="C93" s="1"/>
      <c r="D93" s="1"/>
      <c r="E93" s="1"/>
      <c r="F93" s="1"/>
      <c r="G93" s="1" t="s">
        <v>212</v>
      </c>
      <c r="H93" s="1"/>
      <c r="I93" s="2">
        <v>16098.41</v>
      </c>
    </row>
    <row r="94" spans="1:9" ht="15" thickBot="1" x14ac:dyDescent="0.35">
      <c r="A94" s="1"/>
      <c r="B94" s="1"/>
      <c r="C94" s="1"/>
      <c r="D94" s="1"/>
      <c r="E94" s="1"/>
      <c r="F94" s="1"/>
      <c r="G94" s="1" t="s">
        <v>211</v>
      </c>
      <c r="H94" s="1"/>
      <c r="I94" s="5">
        <v>30500</v>
      </c>
    </row>
    <row r="95" spans="1:9" x14ac:dyDescent="0.3">
      <c r="A95" s="1"/>
      <c r="B95" s="1"/>
      <c r="C95" s="1"/>
      <c r="D95" s="1"/>
      <c r="E95" s="1"/>
      <c r="F95" s="1" t="s">
        <v>210</v>
      </c>
      <c r="G95" s="1"/>
      <c r="H95" s="1"/>
      <c r="I95" s="2">
        <f>ROUND(SUM(I91:I94),5)</f>
        <v>66848.41</v>
      </c>
    </row>
    <row r="96" spans="1:9" x14ac:dyDescent="0.3">
      <c r="A96" s="1"/>
      <c r="B96" s="1"/>
      <c r="C96" s="1"/>
      <c r="D96" s="1"/>
      <c r="E96" s="1"/>
      <c r="F96" s="1" t="s">
        <v>209</v>
      </c>
      <c r="G96" s="1"/>
      <c r="H96" s="1"/>
      <c r="I96" s="2"/>
    </row>
    <row r="97" spans="1:9" x14ac:dyDescent="0.3">
      <c r="A97" s="1"/>
      <c r="B97" s="1"/>
      <c r="C97" s="1"/>
      <c r="D97" s="1"/>
      <c r="E97" s="1"/>
      <c r="F97" s="1"/>
      <c r="G97" s="1" t="s">
        <v>208</v>
      </c>
      <c r="H97" s="1"/>
      <c r="I97" s="2">
        <v>8850.81</v>
      </c>
    </row>
    <row r="98" spans="1:9" x14ac:dyDescent="0.3">
      <c r="A98" s="1"/>
      <c r="B98" s="1"/>
      <c r="C98" s="1"/>
      <c r="D98" s="1"/>
      <c r="E98" s="1"/>
      <c r="F98" s="1"/>
      <c r="G98" s="1" t="s">
        <v>207</v>
      </c>
      <c r="H98" s="1"/>
      <c r="I98" s="2">
        <v>117662.77</v>
      </c>
    </row>
    <row r="99" spans="1:9" x14ac:dyDescent="0.3">
      <c r="A99" s="1"/>
      <c r="B99" s="1"/>
      <c r="C99" s="1"/>
      <c r="D99" s="1"/>
      <c r="E99" s="1"/>
      <c r="F99" s="1"/>
      <c r="G99" s="1" t="s">
        <v>206</v>
      </c>
      <c r="H99" s="1"/>
      <c r="I99" s="2">
        <v>15213.77</v>
      </c>
    </row>
    <row r="100" spans="1:9" x14ac:dyDescent="0.3">
      <c r="A100" s="1"/>
      <c r="B100" s="1"/>
      <c r="C100" s="1"/>
      <c r="D100" s="1"/>
      <c r="E100" s="1"/>
      <c r="F100" s="1"/>
      <c r="G100" s="1" t="s">
        <v>205</v>
      </c>
      <c r="H100" s="1"/>
      <c r="I100" s="2"/>
    </row>
    <row r="101" spans="1:9" x14ac:dyDescent="0.3">
      <c r="A101" s="1"/>
      <c r="B101" s="1"/>
      <c r="C101" s="1"/>
      <c r="D101" s="1"/>
      <c r="E101" s="1"/>
      <c r="F101" s="1"/>
      <c r="G101" s="1"/>
      <c r="H101" s="1" t="s">
        <v>204</v>
      </c>
      <c r="I101" s="2">
        <v>28151.11</v>
      </c>
    </row>
    <row r="102" spans="1:9" ht="15" thickBot="1" x14ac:dyDescent="0.35">
      <c r="A102" s="1"/>
      <c r="B102" s="1"/>
      <c r="C102" s="1"/>
      <c r="D102" s="1"/>
      <c r="E102" s="1"/>
      <c r="F102" s="1"/>
      <c r="G102" s="1"/>
      <c r="H102" s="1" t="s">
        <v>203</v>
      </c>
      <c r="I102" s="5">
        <v>25727.97</v>
      </c>
    </row>
    <row r="103" spans="1:9" x14ac:dyDescent="0.3">
      <c r="A103" s="1"/>
      <c r="B103" s="1"/>
      <c r="C103" s="1"/>
      <c r="D103" s="1"/>
      <c r="E103" s="1"/>
      <c r="F103" s="1"/>
      <c r="G103" s="1" t="s">
        <v>202</v>
      </c>
      <c r="H103" s="1"/>
      <c r="I103" s="2">
        <f>ROUND(SUM(I100:I102),5)</f>
        <v>53879.08</v>
      </c>
    </row>
    <row r="104" spans="1:9" ht="15" thickBot="1" x14ac:dyDescent="0.35">
      <c r="A104" s="1"/>
      <c r="B104" s="1"/>
      <c r="C104" s="1"/>
      <c r="D104" s="1"/>
      <c r="E104" s="1"/>
      <c r="F104" s="1"/>
      <c r="G104" s="1" t="s">
        <v>201</v>
      </c>
      <c r="H104" s="1"/>
      <c r="I104" s="5">
        <v>2066.08</v>
      </c>
    </row>
    <row r="105" spans="1:9" x14ac:dyDescent="0.3">
      <c r="A105" s="1"/>
      <c r="B105" s="1"/>
      <c r="C105" s="1"/>
      <c r="D105" s="1"/>
      <c r="E105" s="1"/>
      <c r="F105" s="1" t="s">
        <v>200</v>
      </c>
      <c r="G105" s="1"/>
      <c r="H105" s="1"/>
      <c r="I105" s="2">
        <f>ROUND(SUM(I96:I99)+SUM(I103:I104),5)</f>
        <v>197672.51</v>
      </c>
    </row>
    <row r="106" spans="1:9" x14ac:dyDescent="0.3">
      <c r="A106" s="1"/>
      <c r="B106" s="1"/>
      <c r="C106" s="1"/>
      <c r="D106" s="1"/>
      <c r="E106" s="1"/>
      <c r="F106" s="1" t="s">
        <v>199</v>
      </c>
      <c r="G106" s="1"/>
      <c r="H106" s="1"/>
      <c r="I106" s="2"/>
    </row>
    <row r="107" spans="1:9" x14ac:dyDescent="0.3">
      <c r="A107" s="1"/>
      <c r="B107" s="1"/>
      <c r="C107" s="1"/>
      <c r="D107" s="1"/>
      <c r="E107" s="1"/>
      <c r="F107" s="1"/>
      <c r="G107" s="1" t="s">
        <v>198</v>
      </c>
      <c r="H107" s="1"/>
      <c r="I107" s="2"/>
    </row>
    <row r="108" spans="1:9" x14ac:dyDescent="0.3">
      <c r="A108" s="1"/>
      <c r="B108" s="1"/>
      <c r="C108" s="1"/>
      <c r="D108" s="1"/>
      <c r="E108" s="1"/>
      <c r="F108" s="1"/>
      <c r="G108" s="1"/>
      <c r="H108" s="1" t="s">
        <v>197</v>
      </c>
      <c r="I108" s="2">
        <v>161823.35999999999</v>
      </c>
    </row>
    <row r="109" spans="1:9" x14ac:dyDescent="0.3">
      <c r="A109" s="1"/>
      <c r="B109" s="1"/>
      <c r="C109" s="1"/>
      <c r="D109" s="1"/>
      <c r="E109" s="1"/>
      <c r="F109" s="1"/>
      <c r="G109" s="1"/>
      <c r="H109" s="1" t="s">
        <v>196</v>
      </c>
      <c r="I109" s="2">
        <v>238358.97</v>
      </c>
    </row>
    <row r="110" spans="1:9" x14ac:dyDescent="0.3">
      <c r="A110" s="1"/>
      <c r="B110" s="1"/>
      <c r="C110" s="1"/>
      <c r="D110" s="1"/>
      <c r="E110" s="1"/>
      <c r="F110" s="1"/>
      <c r="G110" s="1"/>
      <c r="H110" s="1" t="s">
        <v>195</v>
      </c>
      <c r="I110" s="2">
        <v>186415.46</v>
      </c>
    </row>
    <row r="111" spans="1:9" x14ac:dyDescent="0.3">
      <c r="A111" s="1"/>
      <c r="B111" s="1"/>
      <c r="C111" s="1"/>
      <c r="D111" s="1"/>
      <c r="E111" s="1"/>
      <c r="F111" s="1"/>
      <c r="G111" s="1"/>
      <c r="H111" s="1" t="s">
        <v>194</v>
      </c>
      <c r="I111" s="2">
        <v>253383.66</v>
      </c>
    </row>
    <row r="112" spans="1:9" ht="15" thickBot="1" x14ac:dyDescent="0.35">
      <c r="A112" s="1"/>
      <c r="B112" s="1"/>
      <c r="C112" s="1"/>
      <c r="D112" s="1"/>
      <c r="E112" s="1"/>
      <c r="F112" s="1"/>
      <c r="G112" s="1"/>
      <c r="H112" s="1" t="s">
        <v>193</v>
      </c>
      <c r="I112" s="5">
        <v>5820.62</v>
      </c>
    </row>
    <row r="113" spans="1:9" x14ac:dyDescent="0.3">
      <c r="A113" s="1"/>
      <c r="B113" s="1"/>
      <c r="C113" s="1"/>
      <c r="D113" s="1"/>
      <c r="E113" s="1"/>
      <c r="F113" s="1"/>
      <c r="G113" s="1" t="s">
        <v>192</v>
      </c>
      <c r="H113" s="1"/>
      <c r="I113" s="2">
        <f>ROUND(SUM(I107:I112),5)</f>
        <v>845802.07</v>
      </c>
    </row>
    <row r="114" spans="1:9" x14ac:dyDescent="0.3">
      <c r="A114" s="1"/>
      <c r="B114" s="1"/>
      <c r="C114" s="1"/>
      <c r="D114" s="1"/>
      <c r="E114" s="1"/>
      <c r="F114" s="1"/>
      <c r="G114" s="1" t="s">
        <v>191</v>
      </c>
      <c r="H114" s="1"/>
      <c r="I114" s="2">
        <v>68019.8</v>
      </c>
    </row>
    <row r="115" spans="1:9" ht="15" thickBot="1" x14ac:dyDescent="0.35">
      <c r="A115" s="1"/>
      <c r="B115" s="1"/>
      <c r="C115" s="1"/>
      <c r="D115" s="1"/>
      <c r="E115" s="1"/>
      <c r="F115" s="1"/>
      <c r="G115" s="1" t="s">
        <v>190</v>
      </c>
      <c r="H115" s="1"/>
      <c r="I115" s="5">
        <v>63385.98</v>
      </c>
    </row>
    <row r="116" spans="1:9" x14ac:dyDescent="0.3">
      <c r="A116" s="1"/>
      <c r="B116" s="1"/>
      <c r="C116" s="1"/>
      <c r="D116" s="1"/>
      <c r="E116" s="1"/>
      <c r="F116" s="1" t="s">
        <v>188</v>
      </c>
      <c r="G116" s="1"/>
      <c r="H116" s="1"/>
      <c r="I116" s="2">
        <f>ROUND(I106+SUM(I113:I115),5)</f>
        <v>977207.85</v>
      </c>
    </row>
    <row r="117" spans="1:9" x14ac:dyDescent="0.3">
      <c r="A117" s="1"/>
      <c r="B117" s="1"/>
      <c r="C117" s="1"/>
      <c r="D117" s="1"/>
      <c r="E117" s="1"/>
      <c r="F117" s="1" t="s">
        <v>187</v>
      </c>
      <c r="G117" s="1"/>
      <c r="H117" s="1"/>
      <c r="I117" s="2">
        <v>7181</v>
      </c>
    </row>
    <row r="118" spans="1:9" x14ac:dyDescent="0.3">
      <c r="A118" s="1"/>
      <c r="B118" s="1"/>
      <c r="C118" s="1"/>
      <c r="D118" s="1"/>
      <c r="E118" s="1"/>
      <c r="F118" s="1" t="s">
        <v>186</v>
      </c>
      <c r="G118" s="1"/>
      <c r="H118" s="1"/>
      <c r="I118" s="2">
        <v>161945.93</v>
      </c>
    </row>
    <row r="119" spans="1:9" x14ac:dyDescent="0.3">
      <c r="A119" s="1"/>
      <c r="B119" s="1"/>
      <c r="C119" s="1"/>
      <c r="D119" s="1"/>
      <c r="E119" s="1"/>
      <c r="F119" s="1" t="s">
        <v>185</v>
      </c>
      <c r="G119" s="1"/>
      <c r="H119" s="1"/>
      <c r="I119" s="2">
        <v>2087.96</v>
      </c>
    </row>
    <row r="120" spans="1:9" x14ac:dyDescent="0.3">
      <c r="A120" s="1"/>
      <c r="B120" s="1"/>
      <c r="C120" s="1"/>
      <c r="D120" s="1"/>
      <c r="E120" s="1"/>
      <c r="F120" s="1" t="s">
        <v>184</v>
      </c>
      <c r="G120" s="1"/>
      <c r="H120" s="1"/>
      <c r="I120" s="2"/>
    </row>
    <row r="121" spans="1:9" x14ac:dyDescent="0.3">
      <c r="A121" s="1"/>
      <c r="B121" s="1"/>
      <c r="C121" s="1"/>
      <c r="D121" s="1"/>
      <c r="E121" s="1"/>
      <c r="F121" s="1"/>
      <c r="G121" s="1" t="s">
        <v>183</v>
      </c>
      <c r="H121" s="1"/>
      <c r="I121" s="2">
        <v>8515.68</v>
      </c>
    </row>
    <row r="122" spans="1:9" x14ac:dyDescent="0.3">
      <c r="A122" s="1"/>
      <c r="B122" s="1"/>
      <c r="C122" s="1"/>
      <c r="D122" s="1"/>
      <c r="E122" s="1"/>
      <c r="F122" s="1"/>
      <c r="G122" s="1" t="s">
        <v>182</v>
      </c>
      <c r="H122" s="1"/>
      <c r="I122" s="2">
        <v>81891.570000000007</v>
      </c>
    </row>
    <row r="123" spans="1:9" x14ac:dyDescent="0.3">
      <c r="A123" s="1"/>
      <c r="B123" s="1"/>
      <c r="C123" s="1"/>
      <c r="D123" s="1"/>
      <c r="E123" s="1"/>
      <c r="F123" s="1"/>
      <c r="G123" s="1" t="s">
        <v>181</v>
      </c>
      <c r="H123" s="1"/>
      <c r="I123" s="2">
        <v>35574.910000000003</v>
      </c>
    </row>
    <row r="124" spans="1:9" x14ac:dyDescent="0.3">
      <c r="A124" s="1"/>
      <c r="B124" s="1"/>
      <c r="C124" s="1"/>
      <c r="D124" s="1"/>
      <c r="E124" s="1"/>
      <c r="F124" s="1"/>
      <c r="G124" s="1" t="s">
        <v>180</v>
      </c>
      <c r="H124" s="1"/>
      <c r="I124" s="2">
        <v>12118.55</v>
      </c>
    </row>
    <row r="125" spans="1:9" x14ac:dyDescent="0.3">
      <c r="A125" s="1"/>
      <c r="B125" s="1"/>
      <c r="C125" s="1"/>
      <c r="D125" s="1"/>
      <c r="E125" s="1"/>
      <c r="F125" s="1"/>
      <c r="G125" s="1" t="s">
        <v>179</v>
      </c>
      <c r="H125" s="1"/>
      <c r="I125" s="2">
        <v>16305.91</v>
      </c>
    </row>
    <row r="126" spans="1:9" x14ac:dyDescent="0.3">
      <c r="A126" s="1"/>
      <c r="B126" s="1"/>
      <c r="C126" s="1"/>
      <c r="D126" s="1"/>
      <c r="E126" s="1"/>
      <c r="F126" s="1"/>
      <c r="G126" s="1" t="s">
        <v>178</v>
      </c>
      <c r="H126" s="1"/>
      <c r="I126" s="2">
        <v>2543.6</v>
      </c>
    </row>
    <row r="127" spans="1:9" x14ac:dyDescent="0.3">
      <c r="A127" s="1"/>
      <c r="B127" s="1"/>
      <c r="C127" s="1"/>
      <c r="D127" s="1"/>
      <c r="E127" s="1"/>
      <c r="F127" s="1"/>
      <c r="G127" s="1" t="s">
        <v>177</v>
      </c>
      <c r="H127" s="1"/>
      <c r="I127" s="2">
        <v>27775</v>
      </c>
    </row>
    <row r="128" spans="1:9" ht="15" thickBot="1" x14ac:dyDescent="0.35">
      <c r="A128" s="1"/>
      <c r="B128" s="1"/>
      <c r="C128" s="1"/>
      <c r="D128" s="1"/>
      <c r="E128" s="1"/>
      <c r="F128" s="1"/>
      <c r="G128" s="1" t="s">
        <v>176</v>
      </c>
      <c r="H128" s="1"/>
      <c r="I128" s="5">
        <v>776.07</v>
      </c>
    </row>
    <row r="129" spans="1:9" x14ac:dyDescent="0.3">
      <c r="A129" s="1"/>
      <c r="B129" s="1"/>
      <c r="C129" s="1"/>
      <c r="D129" s="1"/>
      <c r="E129" s="1"/>
      <c r="F129" s="1" t="s">
        <v>175</v>
      </c>
      <c r="G129" s="1"/>
      <c r="H129" s="1"/>
      <c r="I129" s="2">
        <f>ROUND(SUM(I120:I128),5)</f>
        <v>185501.29</v>
      </c>
    </row>
    <row r="130" spans="1:9" x14ac:dyDescent="0.3">
      <c r="A130" s="1"/>
      <c r="B130" s="1"/>
      <c r="C130" s="1"/>
      <c r="D130" s="1"/>
      <c r="E130" s="1"/>
      <c r="F130" s="1" t="s">
        <v>174</v>
      </c>
      <c r="G130" s="1"/>
      <c r="H130" s="1"/>
      <c r="I130" s="2">
        <v>5491.91</v>
      </c>
    </row>
    <row r="131" spans="1:9" ht="15" thickBot="1" x14ac:dyDescent="0.35">
      <c r="A131" s="1"/>
      <c r="B131" s="1"/>
      <c r="C131" s="1"/>
      <c r="D131" s="1"/>
      <c r="E131" s="1"/>
      <c r="F131" s="1" t="s">
        <v>308</v>
      </c>
      <c r="G131" s="1"/>
      <c r="H131" s="1"/>
      <c r="I131" s="5">
        <v>-5848</v>
      </c>
    </row>
    <row r="132" spans="1:9" x14ac:dyDescent="0.3">
      <c r="A132" s="1"/>
      <c r="B132" s="1"/>
      <c r="C132" s="1"/>
      <c r="D132" s="1"/>
      <c r="E132" s="1" t="s">
        <v>173</v>
      </c>
      <c r="F132" s="1"/>
      <c r="G132" s="1"/>
      <c r="H132" s="1"/>
      <c r="I132" s="2">
        <f>ROUND(SUM(I77:I82)+I90+I95+I105+SUM(I116:I119)+SUM(I129:I131),5)</f>
        <v>1862178.68</v>
      </c>
    </row>
    <row r="133" spans="1:9" x14ac:dyDescent="0.3">
      <c r="A133" s="1"/>
      <c r="B133" s="1"/>
      <c r="C133" s="1"/>
      <c r="D133" s="1"/>
      <c r="E133" s="1" t="s">
        <v>172</v>
      </c>
      <c r="F133" s="1"/>
      <c r="G133" s="1"/>
      <c r="H133" s="1"/>
      <c r="I133" s="2"/>
    </row>
    <row r="134" spans="1:9" x14ac:dyDescent="0.3">
      <c r="A134" s="1"/>
      <c r="B134" s="1"/>
      <c r="C134" s="1"/>
      <c r="D134" s="1"/>
      <c r="E134" s="1"/>
      <c r="F134" s="1" t="s">
        <v>171</v>
      </c>
      <c r="G134" s="1"/>
      <c r="H134" s="1"/>
      <c r="I134" s="2">
        <v>5491.25</v>
      </c>
    </row>
    <row r="135" spans="1:9" x14ac:dyDescent="0.3">
      <c r="A135" s="1"/>
      <c r="B135" s="1"/>
      <c r="C135" s="1"/>
      <c r="D135" s="1"/>
      <c r="E135" s="1"/>
      <c r="F135" s="1" t="s">
        <v>170</v>
      </c>
      <c r="G135" s="1"/>
      <c r="H135" s="1"/>
      <c r="I135" s="2">
        <v>28607.21</v>
      </c>
    </row>
    <row r="136" spans="1:9" x14ac:dyDescent="0.3">
      <c r="A136" s="1"/>
      <c r="B136" s="1"/>
      <c r="C136" s="1"/>
      <c r="D136" s="1"/>
      <c r="E136" s="1"/>
      <c r="F136" s="1" t="s">
        <v>169</v>
      </c>
      <c r="G136" s="1"/>
      <c r="H136" s="1"/>
      <c r="I136" s="2">
        <v>9452.0300000000007</v>
      </c>
    </row>
    <row r="137" spans="1:9" x14ac:dyDescent="0.3">
      <c r="A137" s="1"/>
      <c r="B137" s="1"/>
      <c r="C137" s="1"/>
      <c r="D137" s="1"/>
      <c r="E137" s="1"/>
      <c r="F137" s="1" t="s">
        <v>307</v>
      </c>
      <c r="G137" s="1"/>
      <c r="H137" s="1"/>
      <c r="I137" s="2">
        <v>316.3</v>
      </c>
    </row>
    <row r="138" spans="1:9" x14ac:dyDescent="0.3">
      <c r="A138" s="1"/>
      <c r="B138" s="1"/>
      <c r="C138" s="1"/>
      <c r="D138" s="1"/>
      <c r="E138" s="1"/>
      <c r="F138" s="1" t="s">
        <v>168</v>
      </c>
      <c r="G138" s="1"/>
      <c r="H138" s="1"/>
      <c r="I138" s="2">
        <v>16624.740000000002</v>
      </c>
    </row>
    <row r="139" spans="1:9" x14ac:dyDescent="0.3">
      <c r="A139" s="1"/>
      <c r="B139" s="1"/>
      <c r="C139" s="1"/>
      <c r="D139" s="1"/>
      <c r="E139" s="1"/>
      <c r="F139" s="1" t="s">
        <v>167</v>
      </c>
      <c r="G139" s="1"/>
      <c r="H139" s="1"/>
      <c r="I139" s="2">
        <v>28878.01</v>
      </c>
    </row>
    <row r="140" spans="1:9" x14ac:dyDescent="0.3">
      <c r="A140" s="1"/>
      <c r="B140" s="1"/>
      <c r="C140" s="1"/>
      <c r="D140" s="1"/>
      <c r="E140" s="1"/>
      <c r="F140" s="1" t="s">
        <v>166</v>
      </c>
      <c r="G140" s="1"/>
      <c r="H140" s="1"/>
      <c r="I140" s="2">
        <v>19338.47</v>
      </c>
    </row>
    <row r="141" spans="1:9" x14ac:dyDescent="0.3">
      <c r="A141" s="1"/>
      <c r="B141" s="1"/>
      <c r="C141" s="1"/>
      <c r="D141" s="1"/>
      <c r="E141" s="1"/>
      <c r="F141" s="1" t="s">
        <v>165</v>
      </c>
      <c r="G141" s="1"/>
      <c r="H141" s="1"/>
      <c r="I141" s="2">
        <v>69463.25</v>
      </c>
    </row>
    <row r="142" spans="1:9" x14ac:dyDescent="0.3">
      <c r="A142" s="1"/>
      <c r="B142" s="1"/>
      <c r="C142" s="1"/>
      <c r="D142" s="1"/>
      <c r="E142" s="1"/>
      <c r="F142" s="1" t="s">
        <v>161</v>
      </c>
      <c r="G142" s="1"/>
      <c r="H142" s="1"/>
      <c r="I142" s="2">
        <v>15329.7</v>
      </c>
    </row>
    <row r="143" spans="1:9" x14ac:dyDescent="0.3">
      <c r="A143" s="1"/>
      <c r="B143" s="1"/>
      <c r="C143" s="1"/>
      <c r="D143" s="1"/>
      <c r="E143" s="1"/>
      <c r="F143" s="1" t="s">
        <v>160</v>
      </c>
      <c r="G143" s="1"/>
      <c r="H143" s="1"/>
      <c r="I143" s="2">
        <v>48645.65</v>
      </c>
    </row>
    <row r="144" spans="1:9" x14ac:dyDescent="0.3">
      <c r="A144" s="1"/>
      <c r="B144" s="1"/>
      <c r="C144" s="1"/>
      <c r="D144" s="1"/>
      <c r="E144" s="1"/>
      <c r="F144" s="1" t="s">
        <v>159</v>
      </c>
      <c r="G144" s="1"/>
      <c r="H144" s="1"/>
      <c r="I144" s="2"/>
    </row>
    <row r="145" spans="1:9" x14ac:dyDescent="0.3">
      <c r="A145" s="1"/>
      <c r="B145" s="1"/>
      <c r="C145" s="1"/>
      <c r="D145" s="1"/>
      <c r="E145" s="1"/>
      <c r="F145" s="1"/>
      <c r="G145" s="1" t="s">
        <v>158</v>
      </c>
      <c r="H145" s="1"/>
      <c r="I145" s="2">
        <v>200723.58</v>
      </c>
    </row>
    <row r="146" spans="1:9" x14ac:dyDescent="0.3">
      <c r="A146" s="1"/>
      <c r="B146" s="1"/>
      <c r="C146" s="1"/>
      <c r="D146" s="1"/>
      <c r="E146" s="1"/>
      <c r="F146" s="1"/>
      <c r="G146" s="1" t="s">
        <v>157</v>
      </c>
      <c r="H146" s="1"/>
      <c r="I146" s="2">
        <v>123168.12</v>
      </c>
    </row>
    <row r="147" spans="1:9" x14ac:dyDescent="0.3">
      <c r="A147" s="1"/>
      <c r="B147" s="1"/>
      <c r="C147" s="1"/>
      <c r="D147" s="1"/>
      <c r="E147" s="1"/>
      <c r="F147" s="1"/>
      <c r="G147" s="1" t="s">
        <v>156</v>
      </c>
      <c r="H147" s="1"/>
      <c r="I147" s="2">
        <v>146355.64000000001</v>
      </c>
    </row>
    <row r="148" spans="1:9" ht="15" thickBot="1" x14ac:dyDescent="0.35">
      <c r="A148" s="1"/>
      <c r="B148" s="1"/>
      <c r="C148" s="1"/>
      <c r="D148" s="1"/>
      <c r="E148" s="1"/>
      <c r="F148" s="1"/>
      <c r="G148" s="1" t="s">
        <v>306</v>
      </c>
      <c r="H148" s="1"/>
      <c r="I148" s="5">
        <v>-314.56</v>
      </c>
    </row>
    <row r="149" spans="1:9" x14ac:dyDescent="0.3">
      <c r="A149" s="1"/>
      <c r="B149" s="1"/>
      <c r="C149" s="1"/>
      <c r="D149" s="1"/>
      <c r="E149" s="1"/>
      <c r="F149" s="1" t="s">
        <v>153</v>
      </c>
      <c r="G149" s="1"/>
      <c r="H149" s="1"/>
      <c r="I149" s="2">
        <f>ROUND(SUM(I144:I148),5)</f>
        <v>469932.78</v>
      </c>
    </row>
    <row r="150" spans="1:9" x14ac:dyDescent="0.3">
      <c r="A150" s="1"/>
      <c r="B150" s="1"/>
      <c r="C150" s="1"/>
      <c r="D150" s="1"/>
      <c r="E150" s="1"/>
      <c r="F150" s="1" t="s">
        <v>152</v>
      </c>
      <c r="G150" s="1"/>
      <c r="H150" s="1"/>
      <c r="I150" s="2">
        <v>14665.67</v>
      </c>
    </row>
    <row r="151" spans="1:9" x14ac:dyDescent="0.3">
      <c r="A151" s="1"/>
      <c r="B151" s="1"/>
      <c r="C151" s="1"/>
      <c r="D151" s="1"/>
      <c r="E151" s="1"/>
      <c r="F151" s="1" t="s">
        <v>151</v>
      </c>
      <c r="G151" s="1"/>
      <c r="H151" s="1"/>
      <c r="I151" s="2">
        <v>9756.57</v>
      </c>
    </row>
    <row r="152" spans="1:9" x14ac:dyDescent="0.3">
      <c r="A152" s="1"/>
      <c r="B152" s="1"/>
      <c r="C152" s="1"/>
      <c r="D152" s="1"/>
      <c r="E152" s="1"/>
      <c r="F152" s="1" t="s">
        <v>150</v>
      </c>
      <c r="G152" s="1"/>
      <c r="H152" s="1"/>
      <c r="I152" s="2">
        <v>7159.2</v>
      </c>
    </row>
    <row r="153" spans="1:9" ht="15" thickBot="1" x14ac:dyDescent="0.35">
      <c r="A153" s="1"/>
      <c r="B153" s="1"/>
      <c r="C153" s="1"/>
      <c r="D153" s="1"/>
      <c r="E153" s="1"/>
      <c r="F153" s="1" t="s">
        <v>149</v>
      </c>
      <c r="G153" s="1"/>
      <c r="H153" s="1"/>
      <c r="I153" s="5">
        <v>3687.91</v>
      </c>
    </row>
    <row r="154" spans="1:9" x14ac:dyDescent="0.3">
      <c r="A154" s="1"/>
      <c r="B154" s="1"/>
      <c r="C154" s="1"/>
      <c r="D154" s="1"/>
      <c r="E154" s="1" t="s">
        <v>147</v>
      </c>
      <c r="F154" s="1"/>
      <c r="G154" s="1"/>
      <c r="H154" s="1"/>
      <c r="I154" s="2">
        <f>ROUND(SUM(I133:I143)+SUM(I149:I153),5)</f>
        <v>747348.74</v>
      </c>
    </row>
    <row r="155" spans="1:9" x14ac:dyDescent="0.3">
      <c r="A155" s="1"/>
      <c r="B155" s="1"/>
      <c r="C155" s="1"/>
      <c r="D155" s="1"/>
      <c r="E155" s="1" t="s">
        <v>146</v>
      </c>
      <c r="F155" s="1"/>
      <c r="G155" s="1"/>
      <c r="H155" s="1"/>
      <c r="I155" s="2"/>
    </row>
    <row r="156" spans="1:9" x14ac:dyDescent="0.3">
      <c r="A156" s="1"/>
      <c r="B156" s="1"/>
      <c r="C156" s="1"/>
      <c r="D156" s="1"/>
      <c r="E156" s="1"/>
      <c r="F156" s="1" t="s">
        <v>145</v>
      </c>
      <c r="G156" s="1"/>
      <c r="H156" s="1"/>
      <c r="I156" s="2">
        <v>12252.78</v>
      </c>
    </row>
    <row r="157" spans="1:9" ht="15" thickBot="1" x14ac:dyDescent="0.35">
      <c r="A157" s="1"/>
      <c r="B157" s="1"/>
      <c r="C157" s="1"/>
      <c r="D157" s="1"/>
      <c r="E157" s="1"/>
      <c r="F157" s="1" t="s">
        <v>305</v>
      </c>
      <c r="G157" s="1"/>
      <c r="H157" s="1"/>
      <c r="I157" s="5">
        <v>1427.03</v>
      </c>
    </row>
    <row r="158" spans="1:9" x14ac:dyDescent="0.3">
      <c r="A158" s="1"/>
      <c r="B158" s="1"/>
      <c r="C158" s="1"/>
      <c r="D158" s="1"/>
      <c r="E158" s="1" t="s">
        <v>144</v>
      </c>
      <c r="F158" s="1"/>
      <c r="G158" s="1"/>
      <c r="H158" s="1"/>
      <c r="I158" s="2">
        <f>ROUND(SUM(I155:I157),5)</f>
        <v>13679.81</v>
      </c>
    </row>
    <row r="159" spans="1:9" ht="15" thickBot="1" x14ac:dyDescent="0.35">
      <c r="A159" s="1"/>
      <c r="B159" s="1"/>
      <c r="C159" s="1"/>
      <c r="D159" s="1"/>
      <c r="E159" s="1" t="s">
        <v>304</v>
      </c>
      <c r="F159" s="1"/>
      <c r="G159" s="1"/>
      <c r="H159" s="1"/>
      <c r="I159" s="2">
        <v>5848</v>
      </c>
    </row>
    <row r="160" spans="1:9" ht="15" thickBot="1" x14ac:dyDescent="0.35">
      <c r="A160" s="1"/>
      <c r="B160" s="1"/>
      <c r="C160" s="1"/>
      <c r="D160" s="1" t="s">
        <v>143</v>
      </c>
      <c r="E160" s="1"/>
      <c r="F160" s="1"/>
      <c r="G160" s="1"/>
      <c r="H160" s="1"/>
      <c r="I160" s="4">
        <f>ROUND(I55+I76+I132+I154+SUM(I158:I159),5)</f>
        <v>2926608.67</v>
      </c>
    </row>
    <row r="161" spans="1:9" x14ac:dyDescent="0.3">
      <c r="A161" s="1"/>
      <c r="B161" s="1" t="s">
        <v>142</v>
      </c>
      <c r="C161" s="1"/>
      <c r="D161" s="1"/>
      <c r="E161" s="1"/>
      <c r="F161" s="1"/>
      <c r="G161" s="1"/>
      <c r="H161" s="1"/>
      <c r="I161" s="2">
        <f>ROUND(I2+I54-I160,5)</f>
        <v>346261.99</v>
      </c>
    </row>
    <row r="162" spans="1:9" x14ac:dyDescent="0.3">
      <c r="A162" s="1"/>
      <c r="B162" s="1" t="s">
        <v>141</v>
      </c>
      <c r="C162" s="1"/>
      <c r="D162" s="1"/>
      <c r="E162" s="1"/>
      <c r="F162" s="1"/>
      <c r="G162" s="1"/>
      <c r="H162" s="1"/>
      <c r="I162" s="2"/>
    </row>
    <row r="163" spans="1:9" x14ac:dyDescent="0.3">
      <c r="A163" s="1"/>
      <c r="B163" s="1"/>
      <c r="C163" s="1" t="s">
        <v>140</v>
      </c>
      <c r="D163" s="1"/>
      <c r="E163" s="1"/>
      <c r="F163" s="1"/>
      <c r="G163" s="1"/>
      <c r="H163" s="1"/>
      <c r="I163" s="2"/>
    </row>
    <row r="164" spans="1:9" x14ac:dyDescent="0.3">
      <c r="A164" s="1"/>
      <c r="B164" s="1"/>
      <c r="C164" s="1"/>
      <c r="D164" s="1" t="s">
        <v>139</v>
      </c>
      <c r="E164" s="1"/>
      <c r="F164" s="1"/>
      <c r="G164" s="1"/>
      <c r="H164" s="1"/>
      <c r="I164" s="2"/>
    </row>
    <row r="165" spans="1:9" x14ac:dyDescent="0.3">
      <c r="A165" s="1"/>
      <c r="B165" s="1"/>
      <c r="C165" s="1"/>
      <c r="D165" s="1"/>
      <c r="E165" s="1" t="s">
        <v>138</v>
      </c>
      <c r="F165" s="1"/>
      <c r="G165" s="1"/>
      <c r="H165" s="1"/>
      <c r="I165" s="2">
        <v>2217.73</v>
      </c>
    </row>
    <row r="166" spans="1:9" x14ac:dyDescent="0.3">
      <c r="A166" s="1"/>
      <c r="B166" s="1"/>
      <c r="C166" s="1"/>
      <c r="D166" s="1"/>
      <c r="E166" s="1" t="s">
        <v>137</v>
      </c>
      <c r="F166" s="1"/>
      <c r="G166" s="1"/>
      <c r="H166" s="1"/>
      <c r="I166" s="2">
        <v>2047.92</v>
      </c>
    </row>
    <row r="167" spans="1:9" ht="15" thickBot="1" x14ac:dyDescent="0.35">
      <c r="A167" s="1"/>
      <c r="B167" s="1"/>
      <c r="C167" s="1"/>
      <c r="D167" s="1"/>
      <c r="E167" s="1" t="s">
        <v>303</v>
      </c>
      <c r="F167" s="1"/>
      <c r="G167" s="1"/>
      <c r="H167" s="1"/>
      <c r="I167" s="2">
        <v>339300.39</v>
      </c>
    </row>
    <row r="168" spans="1:9" ht="15" thickBot="1" x14ac:dyDescent="0.35">
      <c r="A168" s="1"/>
      <c r="B168" s="1"/>
      <c r="C168" s="1"/>
      <c r="D168" s="1" t="s">
        <v>136</v>
      </c>
      <c r="E168" s="1"/>
      <c r="F168" s="1"/>
      <c r="G168" s="1"/>
      <c r="H168" s="1"/>
      <c r="I168" s="4">
        <f>ROUND(SUM(I164:I167),5)</f>
        <v>343566.04</v>
      </c>
    </row>
    <row r="169" spans="1:9" x14ac:dyDescent="0.3">
      <c r="A169" s="1"/>
      <c r="B169" s="1"/>
      <c r="C169" s="1" t="s">
        <v>135</v>
      </c>
      <c r="D169" s="1"/>
      <c r="E169" s="1"/>
      <c r="F169" s="1"/>
      <c r="G169" s="1"/>
      <c r="H169" s="1"/>
      <c r="I169" s="2">
        <f>ROUND(I163+I168,5)</f>
        <v>343566.04</v>
      </c>
    </row>
    <row r="170" spans="1:9" x14ac:dyDescent="0.3">
      <c r="A170" s="1"/>
      <c r="B170" s="1"/>
      <c r="C170" s="1" t="s">
        <v>134</v>
      </c>
      <c r="D170" s="1"/>
      <c r="E170" s="1"/>
      <c r="F170" s="1"/>
      <c r="G170" s="1"/>
      <c r="H170" s="1"/>
      <c r="I170" s="2"/>
    </row>
    <row r="171" spans="1:9" x14ac:dyDescent="0.3">
      <c r="A171" s="1"/>
      <c r="B171" s="1"/>
      <c r="C171" s="1"/>
      <c r="D171" s="1" t="s">
        <v>133</v>
      </c>
      <c r="E171" s="1"/>
      <c r="F171" s="1"/>
      <c r="G171" s="1"/>
      <c r="H171" s="1"/>
      <c r="I171" s="2">
        <v>70662.429999999993</v>
      </c>
    </row>
    <row r="172" spans="1:9" ht="15" thickBot="1" x14ac:dyDescent="0.35">
      <c r="A172" s="1"/>
      <c r="B172" s="1"/>
      <c r="C172" s="1"/>
      <c r="D172" s="1" t="s">
        <v>132</v>
      </c>
      <c r="E172" s="1"/>
      <c r="F172" s="1"/>
      <c r="G172" s="1"/>
      <c r="H172" s="1"/>
      <c r="I172" s="2">
        <v>69587.31</v>
      </c>
    </row>
    <row r="173" spans="1:9" ht="15" thickBot="1" x14ac:dyDescent="0.35">
      <c r="A173" s="1"/>
      <c r="B173" s="1"/>
      <c r="C173" s="1" t="s">
        <v>130</v>
      </c>
      <c r="D173" s="1"/>
      <c r="E173" s="1"/>
      <c r="F173" s="1"/>
      <c r="G173" s="1"/>
      <c r="H173" s="1"/>
      <c r="I173" s="6">
        <f>ROUND(SUM(I170:I172),5)</f>
        <v>140249.74</v>
      </c>
    </row>
    <row r="174" spans="1:9" ht="15" thickBot="1" x14ac:dyDescent="0.35">
      <c r="A174" s="1"/>
      <c r="B174" s="1" t="s">
        <v>129</v>
      </c>
      <c r="C174" s="1"/>
      <c r="D174" s="1"/>
      <c r="E174" s="1"/>
      <c r="F174" s="1"/>
      <c r="G174" s="1"/>
      <c r="H174" s="1"/>
      <c r="I174" s="6">
        <f>ROUND(I162+I169-I173,5)</f>
        <v>203316.3</v>
      </c>
    </row>
    <row r="175" spans="1:9" s="8" customFormat="1" thickBot="1" x14ac:dyDescent="0.35">
      <c r="A175" s="1" t="s">
        <v>121</v>
      </c>
      <c r="B175" s="1"/>
      <c r="C175" s="1"/>
      <c r="D175" s="1"/>
      <c r="E175" s="1"/>
      <c r="F175" s="1"/>
      <c r="G175" s="1"/>
      <c r="H175" s="1"/>
      <c r="I175" s="7">
        <f>ROUND(I161+I174,5)</f>
        <v>549578.29</v>
      </c>
    </row>
    <row r="176" spans="1:9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5:03 PM
&amp;"Calibri,Regular"&amp;10 05/14/26&amp;C&amp;"Calibri,Regular"&amp;12 Live Marketing, LLC
&amp;"Calibri,Regular"&amp;14 Profit &amp;&amp; Loss
&amp;"Calibri,Regular"&amp;10 January through December 2024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5122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5122" r:id="rId4" name="HEADER"/>
      </mc:Fallback>
    </mc:AlternateContent>
    <mc:AlternateContent xmlns:mc="http://schemas.openxmlformats.org/markup-compatibility/2006">
      <mc:Choice Requires="x14">
        <control shapeId="5121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5121" r:id="rId6" name="FILTE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EBC2-671E-4A45-BD0C-A59F1096480F}">
  <sheetPr codeName="Sheet3"/>
  <dimension ref="A1:I176"/>
  <sheetViews>
    <sheetView workbookViewId="0">
      <pane xSplit="8" ySplit="1" topLeftCell="I2" activePane="bottomRight" state="frozenSplit"/>
      <selection pane="topRight" activeCell="I1" sqref="I1"/>
      <selection pane="bottomLeft" activeCell="A2" sqref="A2"/>
      <selection pane="bottomRight" activeCell="H13" sqref="H13"/>
    </sheetView>
  </sheetViews>
  <sheetFormatPr defaultRowHeight="14.4" x14ac:dyDescent="0.3"/>
  <cols>
    <col min="1" max="7" width="3" style="8" customWidth="1"/>
    <col min="8" max="8" width="35.88671875" style="8" customWidth="1"/>
    <col min="9" max="9" width="11.33203125" bestFit="1" customWidth="1"/>
  </cols>
  <sheetData>
    <row r="1" spans="1:9" s="11" customFormat="1" ht="15" thickBot="1" x14ac:dyDescent="0.35">
      <c r="A1" s="9"/>
      <c r="B1" s="9"/>
      <c r="C1" s="9"/>
      <c r="D1" s="9"/>
      <c r="E1" s="9"/>
      <c r="F1" s="9"/>
      <c r="G1" s="9"/>
      <c r="H1" s="9"/>
      <c r="I1" s="10" t="s">
        <v>302</v>
      </c>
    </row>
    <row r="2" spans="1:9" ht="15" thickTop="1" x14ac:dyDescent="0.3">
      <c r="A2" s="1"/>
      <c r="B2" s="1" t="s">
        <v>301</v>
      </c>
      <c r="C2" s="1"/>
      <c r="D2" s="1"/>
      <c r="E2" s="1"/>
      <c r="F2" s="1"/>
      <c r="G2" s="1"/>
      <c r="H2" s="1"/>
      <c r="I2" s="2"/>
    </row>
    <row r="3" spans="1:9" x14ac:dyDescent="0.3">
      <c r="A3" s="1"/>
      <c r="B3" s="1"/>
      <c r="C3" s="1"/>
      <c r="D3" s="1" t="s">
        <v>300</v>
      </c>
      <c r="E3" s="1"/>
      <c r="F3" s="1"/>
      <c r="G3" s="1"/>
      <c r="H3" s="1"/>
      <c r="I3" s="2"/>
    </row>
    <row r="4" spans="1:9" x14ac:dyDescent="0.3">
      <c r="A4" s="1"/>
      <c r="B4" s="1"/>
      <c r="C4" s="1"/>
      <c r="D4" s="1"/>
      <c r="E4" s="1" t="s">
        <v>299</v>
      </c>
      <c r="F4" s="1"/>
      <c r="G4" s="1"/>
      <c r="H4" s="1"/>
      <c r="I4" s="2"/>
    </row>
    <row r="5" spans="1:9" x14ac:dyDescent="0.3">
      <c r="A5" s="1"/>
      <c r="B5" s="1"/>
      <c r="C5" s="1"/>
      <c r="D5" s="1"/>
      <c r="E5" s="1"/>
      <c r="F5" s="1" t="s">
        <v>298</v>
      </c>
      <c r="G5" s="1"/>
      <c r="H5" s="1"/>
      <c r="I5" s="2">
        <v>21409.4</v>
      </c>
    </row>
    <row r="6" spans="1:9" x14ac:dyDescent="0.3">
      <c r="A6" s="1"/>
      <c r="B6" s="1"/>
      <c r="C6" s="1"/>
      <c r="D6" s="1"/>
      <c r="E6" s="1"/>
      <c r="F6" s="1" t="s">
        <v>297</v>
      </c>
      <c r="G6" s="1"/>
      <c r="H6" s="1"/>
      <c r="I6" s="2">
        <v>4929.1499999999996</v>
      </c>
    </row>
    <row r="7" spans="1:9" x14ac:dyDescent="0.3">
      <c r="A7" s="1"/>
      <c r="B7" s="1"/>
      <c r="C7" s="1"/>
      <c r="D7" s="1"/>
      <c r="E7" s="1"/>
      <c r="F7" s="1" t="s">
        <v>296</v>
      </c>
      <c r="G7" s="1"/>
      <c r="H7" s="1"/>
      <c r="I7" s="2">
        <v>260005</v>
      </c>
    </row>
    <row r="8" spans="1:9" x14ac:dyDescent="0.3">
      <c r="A8" s="1"/>
      <c r="B8" s="1"/>
      <c r="C8" s="1"/>
      <c r="D8" s="1"/>
      <c r="E8" s="1"/>
      <c r="F8" s="1" t="s">
        <v>295</v>
      </c>
      <c r="G8" s="1"/>
      <c r="H8" s="1"/>
      <c r="I8" s="2">
        <v>3377353.47</v>
      </c>
    </row>
    <row r="9" spans="1:9" x14ac:dyDescent="0.3">
      <c r="A9" s="1"/>
      <c r="B9" s="1"/>
      <c r="C9" s="1"/>
      <c r="D9" s="1"/>
      <c r="E9" s="1"/>
      <c r="F9" s="1" t="s">
        <v>294</v>
      </c>
      <c r="G9" s="1"/>
      <c r="H9" s="1"/>
      <c r="I9" s="2">
        <v>25625.41</v>
      </c>
    </row>
    <row r="10" spans="1:9" x14ac:dyDescent="0.3">
      <c r="A10" s="1"/>
      <c r="B10" s="1"/>
      <c r="C10" s="1"/>
      <c r="D10" s="1"/>
      <c r="E10" s="1"/>
      <c r="F10" s="1" t="s">
        <v>293</v>
      </c>
      <c r="G10" s="1"/>
      <c r="H10" s="1"/>
      <c r="I10" s="2">
        <v>894958.61</v>
      </c>
    </row>
    <row r="11" spans="1:9" x14ac:dyDescent="0.3">
      <c r="A11" s="1"/>
      <c r="B11" s="1"/>
      <c r="C11" s="1"/>
      <c r="D11" s="1"/>
      <c r="E11" s="1"/>
      <c r="F11" s="1" t="s">
        <v>292</v>
      </c>
      <c r="G11" s="1"/>
      <c r="H11" s="1"/>
      <c r="I11" s="2">
        <v>963351.63</v>
      </c>
    </row>
    <row r="12" spans="1:9" x14ac:dyDescent="0.3">
      <c r="A12" s="1"/>
      <c r="B12" s="1"/>
      <c r="C12" s="1"/>
      <c r="D12" s="1"/>
      <c r="E12" s="1"/>
      <c r="F12" s="1" t="s">
        <v>291</v>
      </c>
      <c r="G12" s="1"/>
      <c r="H12" s="1"/>
      <c r="I12" s="2">
        <v>953</v>
      </c>
    </row>
    <row r="13" spans="1:9" x14ac:dyDescent="0.3">
      <c r="A13" s="1"/>
      <c r="B13" s="1"/>
      <c r="C13" s="1"/>
      <c r="D13" s="1"/>
      <c r="E13" s="1"/>
      <c r="F13" s="1" t="s">
        <v>290</v>
      </c>
      <c r="G13" s="1"/>
      <c r="H13" s="1"/>
      <c r="I13" s="2"/>
    </row>
    <row r="14" spans="1:9" x14ac:dyDescent="0.3">
      <c r="A14" s="1"/>
      <c r="B14" s="1"/>
      <c r="C14" s="1"/>
      <c r="D14" s="1"/>
      <c r="E14" s="1"/>
      <c r="F14" s="1"/>
      <c r="G14" s="1" t="s">
        <v>289</v>
      </c>
      <c r="H14" s="1"/>
      <c r="I14" s="2">
        <v>-33475.620000000003</v>
      </c>
    </row>
    <row r="15" spans="1:9" ht="15" thickBot="1" x14ac:dyDescent="0.35">
      <c r="A15" s="1"/>
      <c r="B15" s="1"/>
      <c r="C15" s="1"/>
      <c r="D15" s="1"/>
      <c r="E15" s="1"/>
      <c r="F15" s="1"/>
      <c r="G15" s="1" t="s">
        <v>288</v>
      </c>
      <c r="H15" s="1"/>
      <c r="I15" s="5">
        <v>-25075</v>
      </c>
    </row>
    <row r="16" spans="1:9" x14ac:dyDescent="0.3">
      <c r="A16" s="1"/>
      <c r="B16" s="1"/>
      <c r="C16" s="1"/>
      <c r="D16" s="1"/>
      <c r="E16" s="1"/>
      <c r="F16" s="1" t="s">
        <v>287</v>
      </c>
      <c r="G16" s="1"/>
      <c r="H16" s="1"/>
      <c r="I16" s="2">
        <f>ROUND(SUM(I13:I15),5)</f>
        <v>-58550.62</v>
      </c>
    </row>
    <row r="17" spans="1:9" x14ac:dyDescent="0.3">
      <c r="A17" s="1"/>
      <c r="B17" s="1"/>
      <c r="C17" s="1"/>
      <c r="D17" s="1"/>
      <c r="E17" s="1"/>
      <c r="F17" s="1" t="s">
        <v>286</v>
      </c>
      <c r="G17" s="1"/>
      <c r="H17" s="1"/>
      <c r="I17" s="2"/>
    </row>
    <row r="18" spans="1:9" x14ac:dyDescent="0.3">
      <c r="A18" s="1"/>
      <c r="B18" s="1"/>
      <c r="C18" s="1"/>
      <c r="D18" s="1"/>
      <c r="E18" s="1"/>
      <c r="F18" s="1"/>
      <c r="G18" s="1" t="s">
        <v>285</v>
      </c>
      <c r="H18" s="1"/>
      <c r="I18" s="2">
        <v>49041.82</v>
      </c>
    </row>
    <row r="19" spans="1:9" ht="15" thickBot="1" x14ac:dyDescent="0.35">
      <c r="A19" s="1"/>
      <c r="B19" s="1"/>
      <c r="C19" s="1"/>
      <c r="D19" s="1"/>
      <c r="E19" s="1"/>
      <c r="F19" s="1"/>
      <c r="G19" s="1" t="s">
        <v>284</v>
      </c>
      <c r="H19" s="1"/>
      <c r="I19" s="2">
        <v>1163967.1499999999</v>
      </c>
    </row>
    <row r="20" spans="1:9" ht="15" thickBot="1" x14ac:dyDescent="0.35">
      <c r="A20" s="1"/>
      <c r="B20" s="1"/>
      <c r="C20" s="1"/>
      <c r="D20" s="1"/>
      <c r="E20" s="1"/>
      <c r="F20" s="1" t="s">
        <v>283</v>
      </c>
      <c r="G20" s="1"/>
      <c r="H20" s="1"/>
      <c r="I20" s="6">
        <f>ROUND(SUM(I17:I19),5)</f>
        <v>1213008.97</v>
      </c>
    </row>
    <row r="21" spans="1:9" ht="15" thickBot="1" x14ac:dyDescent="0.35">
      <c r="A21" s="1"/>
      <c r="B21" s="1"/>
      <c r="C21" s="1"/>
      <c r="D21" s="1"/>
      <c r="E21" s="1" t="s">
        <v>282</v>
      </c>
      <c r="F21" s="1"/>
      <c r="G21" s="1"/>
      <c r="H21" s="1"/>
      <c r="I21" s="4">
        <f>ROUND(SUM(I4:I12)+I16+I20,5)</f>
        <v>6703044.0199999996</v>
      </c>
    </row>
    <row r="22" spans="1:9" x14ac:dyDescent="0.3">
      <c r="A22" s="1"/>
      <c r="B22" s="1"/>
      <c r="C22" s="1"/>
      <c r="D22" s="1" t="s">
        <v>281</v>
      </c>
      <c r="E22" s="1"/>
      <c r="F22" s="1"/>
      <c r="G22" s="1"/>
      <c r="H22" s="1"/>
      <c r="I22" s="2">
        <f>ROUND(I3+I21,5)</f>
        <v>6703044.0199999996</v>
      </c>
    </row>
    <row r="23" spans="1:9" x14ac:dyDescent="0.3">
      <c r="A23" s="1"/>
      <c r="B23" s="1"/>
      <c r="C23" s="1"/>
      <c r="D23" s="1" t="s">
        <v>280</v>
      </c>
      <c r="E23" s="1"/>
      <c r="F23" s="1"/>
      <c r="G23" s="1"/>
      <c r="H23" s="1"/>
      <c r="I23" s="2"/>
    </row>
    <row r="24" spans="1:9" x14ac:dyDescent="0.3">
      <c r="A24" s="1"/>
      <c r="B24" s="1"/>
      <c r="C24" s="1"/>
      <c r="D24" s="1"/>
      <c r="E24" s="1" t="s">
        <v>279</v>
      </c>
      <c r="F24" s="1"/>
      <c r="G24" s="1"/>
      <c r="H24" s="1"/>
      <c r="I24" s="2"/>
    </row>
    <row r="25" spans="1:9" x14ac:dyDescent="0.3">
      <c r="A25" s="1"/>
      <c r="B25" s="1"/>
      <c r="C25" s="1"/>
      <c r="D25" s="1"/>
      <c r="E25" s="1"/>
      <c r="F25" s="1" t="s">
        <v>278</v>
      </c>
      <c r="G25" s="1"/>
      <c r="H25" s="1"/>
      <c r="I25" s="2"/>
    </row>
    <row r="26" spans="1:9" x14ac:dyDescent="0.3">
      <c r="A26" s="1"/>
      <c r="B26" s="1"/>
      <c r="C26" s="1"/>
      <c r="D26" s="1"/>
      <c r="E26" s="1"/>
      <c r="F26" s="1"/>
      <c r="G26" s="1" t="s">
        <v>277</v>
      </c>
      <c r="H26" s="1"/>
      <c r="I26" s="2">
        <v>111681.64</v>
      </c>
    </row>
    <row r="27" spans="1:9" x14ac:dyDescent="0.3">
      <c r="A27" s="1"/>
      <c r="B27" s="1"/>
      <c r="C27" s="1"/>
      <c r="D27" s="1"/>
      <c r="E27" s="1"/>
      <c r="F27" s="1"/>
      <c r="G27" s="1" t="s">
        <v>276</v>
      </c>
      <c r="H27" s="1"/>
      <c r="I27" s="2">
        <v>25888.44</v>
      </c>
    </row>
    <row r="28" spans="1:9" x14ac:dyDescent="0.3">
      <c r="A28" s="1"/>
      <c r="B28" s="1"/>
      <c r="C28" s="1"/>
      <c r="D28" s="1"/>
      <c r="E28" s="1"/>
      <c r="F28" s="1"/>
      <c r="G28" s="1" t="s">
        <v>275</v>
      </c>
      <c r="H28" s="1"/>
      <c r="I28" s="2">
        <v>83301.600000000006</v>
      </c>
    </row>
    <row r="29" spans="1:9" x14ac:dyDescent="0.3">
      <c r="A29" s="1"/>
      <c r="B29" s="1"/>
      <c r="C29" s="1"/>
      <c r="D29" s="1"/>
      <c r="E29" s="1"/>
      <c r="F29" s="1"/>
      <c r="G29" s="1" t="s">
        <v>274</v>
      </c>
      <c r="H29" s="1"/>
      <c r="I29" s="2">
        <v>177525.6</v>
      </c>
    </row>
    <row r="30" spans="1:9" x14ac:dyDescent="0.3">
      <c r="A30" s="1"/>
      <c r="B30" s="1"/>
      <c r="C30" s="1"/>
      <c r="D30" s="1"/>
      <c r="E30" s="1"/>
      <c r="F30" s="1"/>
      <c r="G30" s="1" t="s">
        <v>273</v>
      </c>
      <c r="H30" s="1"/>
      <c r="I30" s="2">
        <v>1179907.92</v>
      </c>
    </row>
    <row r="31" spans="1:9" x14ac:dyDescent="0.3">
      <c r="A31" s="1"/>
      <c r="B31" s="1"/>
      <c r="C31" s="1"/>
      <c r="D31" s="1"/>
      <c r="E31" s="1"/>
      <c r="F31" s="1"/>
      <c r="G31" s="1" t="s">
        <v>272</v>
      </c>
      <c r="H31" s="1"/>
      <c r="I31" s="2">
        <v>18045.64</v>
      </c>
    </row>
    <row r="32" spans="1:9" ht="15" thickBot="1" x14ac:dyDescent="0.35">
      <c r="A32" s="1"/>
      <c r="B32" s="1"/>
      <c r="C32" s="1"/>
      <c r="D32" s="1"/>
      <c r="E32" s="1"/>
      <c r="F32" s="1"/>
      <c r="G32" s="1" t="s">
        <v>271</v>
      </c>
      <c r="H32" s="1"/>
      <c r="I32" s="5">
        <v>14692.59</v>
      </c>
    </row>
    <row r="33" spans="1:9" x14ac:dyDescent="0.3">
      <c r="A33" s="1"/>
      <c r="B33" s="1"/>
      <c r="C33" s="1"/>
      <c r="D33" s="1"/>
      <c r="E33" s="1"/>
      <c r="F33" s="1" t="s">
        <v>270</v>
      </c>
      <c r="G33" s="1"/>
      <c r="H33" s="1"/>
      <c r="I33" s="2">
        <f>ROUND(SUM(I25:I32),5)</f>
        <v>1611043.43</v>
      </c>
    </row>
    <row r="34" spans="1:9" x14ac:dyDescent="0.3">
      <c r="A34" s="1"/>
      <c r="B34" s="1"/>
      <c r="C34" s="1"/>
      <c r="D34" s="1"/>
      <c r="E34" s="1"/>
      <c r="F34" s="1" t="s">
        <v>269</v>
      </c>
      <c r="G34" s="1"/>
      <c r="H34" s="1"/>
      <c r="I34" s="2"/>
    </row>
    <row r="35" spans="1:9" x14ac:dyDescent="0.3">
      <c r="A35" s="1"/>
      <c r="B35" s="1"/>
      <c r="C35" s="1"/>
      <c r="D35" s="1"/>
      <c r="E35" s="1"/>
      <c r="F35" s="1"/>
      <c r="G35" s="1" t="s">
        <v>268</v>
      </c>
      <c r="H35" s="1"/>
      <c r="I35" s="2">
        <v>785.06</v>
      </c>
    </row>
    <row r="36" spans="1:9" x14ac:dyDescent="0.3">
      <c r="A36" s="1"/>
      <c r="B36" s="1"/>
      <c r="C36" s="1"/>
      <c r="D36" s="1"/>
      <c r="E36" s="1"/>
      <c r="F36" s="1"/>
      <c r="G36" s="1" t="s">
        <v>267</v>
      </c>
      <c r="H36" s="1"/>
      <c r="I36" s="2">
        <v>144439.18</v>
      </c>
    </row>
    <row r="37" spans="1:9" x14ac:dyDescent="0.3">
      <c r="A37" s="1"/>
      <c r="B37" s="1"/>
      <c r="C37" s="1"/>
      <c r="D37" s="1"/>
      <c r="E37" s="1"/>
      <c r="F37" s="1"/>
      <c r="G37" s="1" t="s">
        <v>266</v>
      </c>
      <c r="H37" s="1"/>
      <c r="I37" s="2">
        <v>33558.379999999997</v>
      </c>
    </row>
    <row r="38" spans="1:9" x14ac:dyDescent="0.3">
      <c r="A38" s="1"/>
      <c r="B38" s="1"/>
      <c r="C38" s="1"/>
      <c r="D38" s="1"/>
      <c r="E38" s="1"/>
      <c r="F38" s="1"/>
      <c r="G38" s="1" t="s">
        <v>265</v>
      </c>
      <c r="H38" s="1"/>
      <c r="I38" s="2">
        <v>67900.75</v>
      </c>
    </row>
    <row r="39" spans="1:9" x14ac:dyDescent="0.3">
      <c r="A39" s="1"/>
      <c r="B39" s="1"/>
      <c r="C39" s="1"/>
      <c r="D39" s="1"/>
      <c r="E39" s="1"/>
      <c r="F39" s="1"/>
      <c r="G39" s="1" t="s">
        <v>264</v>
      </c>
      <c r="H39" s="1"/>
      <c r="I39" s="2">
        <v>113100.65</v>
      </c>
    </row>
    <row r="40" spans="1:9" x14ac:dyDescent="0.3">
      <c r="A40" s="1"/>
      <c r="B40" s="1"/>
      <c r="C40" s="1"/>
      <c r="D40" s="1"/>
      <c r="E40" s="1"/>
      <c r="F40" s="1"/>
      <c r="G40" s="1" t="s">
        <v>263</v>
      </c>
      <c r="H40" s="1"/>
      <c r="I40" s="2">
        <v>235343.82</v>
      </c>
    </row>
    <row r="41" spans="1:9" x14ac:dyDescent="0.3">
      <c r="A41" s="1"/>
      <c r="B41" s="1"/>
      <c r="C41" s="1"/>
      <c r="D41" s="1"/>
      <c r="E41" s="1"/>
      <c r="F41" s="1"/>
      <c r="G41" s="1" t="s">
        <v>262</v>
      </c>
      <c r="H41" s="1"/>
      <c r="I41" s="2">
        <v>60</v>
      </c>
    </row>
    <row r="42" spans="1:9" x14ac:dyDescent="0.3">
      <c r="A42" s="1"/>
      <c r="B42" s="1"/>
      <c r="C42" s="1"/>
      <c r="D42" s="1"/>
      <c r="E42" s="1"/>
      <c r="F42" s="1"/>
      <c r="G42" s="1" t="s">
        <v>261</v>
      </c>
      <c r="H42" s="1"/>
      <c r="I42" s="2">
        <v>43857.91</v>
      </c>
    </row>
    <row r="43" spans="1:9" ht="15" thickBot="1" x14ac:dyDescent="0.35">
      <c r="A43" s="1"/>
      <c r="B43" s="1"/>
      <c r="C43" s="1"/>
      <c r="D43" s="1"/>
      <c r="E43" s="1"/>
      <c r="F43" s="1"/>
      <c r="G43" s="1" t="s">
        <v>260</v>
      </c>
      <c r="H43" s="1"/>
      <c r="I43" s="5">
        <v>0</v>
      </c>
    </row>
    <row r="44" spans="1:9" x14ac:dyDescent="0.3">
      <c r="A44" s="1"/>
      <c r="B44" s="1"/>
      <c r="C44" s="1"/>
      <c r="D44" s="1"/>
      <c r="E44" s="1"/>
      <c r="F44" s="1" t="s">
        <v>259</v>
      </c>
      <c r="G44" s="1"/>
      <c r="H44" s="1"/>
      <c r="I44" s="2">
        <f>ROUND(SUM(I34:I43),5)</f>
        <v>639045.75</v>
      </c>
    </row>
    <row r="45" spans="1:9" x14ac:dyDescent="0.3">
      <c r="A45" s="1"/>
      <c r="B45" s="1"/>
      <c r="C45" s="1"/>
      <c r="D45" s="1"/>
      <c r="E45" s="1"/>
      <c r="F45" s="1" t="s">
        <v>258</v>
      </c>
      <c r="G45" s="1"/>
      <c r="H45" s="1"/>
      <c r="I45" s="2"/>
    </row>
    <row r="46" spans="1:9" x14ac:dyDescent="0.3">
      <c r="A46" s="1"/>
      <c r="B46" s="1"/>
      <c r="C46" s="1"/>
      <c r="D46" s="1"/>
      <c r="E46" s="1"/>
      <c r="F46" s="1"/>
      <c r="G46" s="1" t="s">
        <v>257</v>
      </c>
      <c r="H46" s="1"/>
      <c r="I46" s="2">
        <v>1160041.1000000001</v>
      </c>
    </row>
    <row r="47" spans="1:9" x14ac:dyDescent="0.3">
      <c r="A47" s="1"/>
      <c r="B47" s="1"/>
      <c r="C47" s="1"/>
      <c r="D47" s="1"/>
      <c r="E47" s="1"/>
      <c r="F47" s="1"/>
      <c r="G47" s="1" t="s">
        <v>256</v>
      </c>
      <c r="H47" s="1"/>
      <c r="I47" s="2">
        <v>252.2</v>
      </c>
    </row>
    <row r="48" spans="1:9" ht="15" thickBot="1" x14ac:dyDescent="0.35">
      <c r="A48" s="1"/>
      <c r="B48" s="1"/>
      <c r="C48" s="1"/>
      <c r="D48" s="1"/>
      <c r="E48" s="1"/>
      <c r="F48" s="1"/>
      <c r="G48" s="1" t="s">
        <v>255</v>
      </c>
      <c r="H48" s="1"/>
      <c r="I48" s="2">
        <v>1591.76</v>
      </c>
    </row>
    <row r="49" spans="1:9" ht="15" thickBot="1" x14ac:dyDescent="0.35">
      <c r="A49" s="1"/>
      <c r="B49" s="1"/>
      <c r="C49" s="1"/>
      <c r="D49" s="1"/>
      <c r="E49" s="1"/>
      <c r="F49" s="1" t="s">
        <v>254</v>
      </c>
      <c r="G49" s="1"/>
      <c r="H49" s="1"/>
      <c r="I49" s="6">
        <f>ROUND(SUM(I45:I48),5)</f>
        <v>1161885.06</v>
      </c>
    </row>
    <row r="50" spans="1:9" ht="15" thickBot="1" x14ac:dyDescent="0.35">
      <c r="A50" s="1"/>
      <c r="B50" s="1"/>
      <c r="C50" s="1"/>
      <c r="D50" s="1"/>
      <c r="E50" s="1" t="s">
        <v>253</v>
      </c>
      <c r="F50" s="1"/>
      <c r="G50" s="1"/>
      <c r="H50" s="1"/>
      <c r="I50" s="6">
        <f>ROUND(I24+I33+I44+I49,5)</f>
        <v>3411974.24</v>
      </c>
    </row>
    <row r="51" spans="1:9" ht="15" thickBot="1" x14ac:dyDescent="0.35">
      <c r="A51" s="1"/>
      <c r="B51" s="1"/>
      <c r="C51" s="1"/>
      <c r="D51" s="1" t="s">
        <v>252</v>
      </c>
      <c r="E51" s="1"/>
      <c r="F51" s="1"/>
      <c r="G51" s="1"/>
      <c r="H51" s="1"/>
      <c r="I51" s="4">
        <f>ROUND(I23+I50,5)</f>
        <v>3411974.24</v>
      </c>
    </row>
    <row r="52" spans="1:9" x14ac:dyDescent="0.3">
      <c r="A52" s="1"/>
      <c r="B52" s="1"/>
      <c r="C52" s="1" t="s">
        <v>251</v>
      </c>
      <c r="D52" s="1"/>
      <c r="E52" s="1"/>
      <c r="F52" s="1"/>
      <c r="G52" s="1"/>
      <c r="H52" s="1"/>
      <c r="I52" s="2">
        <f>ROUND(I22-I51,5)</f>
        <v>3291069.78</v>
      </c>
    </row>
    <row r="53" spans="1:9" x14ac:dyDescent="0.3">
      <c r="A53" s="1"/>
      <c r="B53" s="1"/>
      <c r="C53" s="1"/>
      <c r="D53" s="1" t="s">
        <v>250</v>
      </c>
      <c r="E53" s="1"/>
      <c r="F53" s="1"/>
      <c r="G53" s="1"/>
      <c r="H53" s="1"/>
      <c r="I53" s="2"/>
    </row>
    <row r="54" spans="1:9" x14ac:dyDescent="0.3">
      <c r="A54" s="1"/>
      <c r="B54" s="1"/>
      <c r="C54" s="1"/>
      <c r="D54" s="1"/>
      <c r="E54" s="1" t="s">
        <v>249</v>
      </c>
      <c r="F54" s="1"/>
      <c r="G54" s="1"/>
      <c r="H54" s="1"/>
      <c r="I54" s="2"/>
    </row>
    <row r="55" spans="1:9" x14ac:dyDescent="0.3">
      <c r="A55" s="1"/>
      <c r="B55" s="1"/>
      <c r="C55" s="1"/>
      <c r="D55" s="1"/>
      <c r="E55" s="1"/>
      <c r="F55" s="1" t="s">
        <v>248</v>
      </c>
      <c r="G55" s="1"/>
      <c r="H55" s="1"/>
      <c r="I55" s="2">
        <v>1504.93</v>
      </c>
    </row>
    <row r="56" spans="1:9" x14ac:dyDescent="0.3">
      <c r="A56" s="1"/>
      <c r="B56" s="1"/>
      <c r="C56" s="1"/>
      <c r="D56" s="1"/>
      <c r="E56" s="1"/>
      <c r="F56" s="1" t="s">
        <v>247</v>
      </c>
      <c r="G56" s="1"/>
      <c r="H56" s="1"/>
      <c r="I56" s="2"/>
    </row>
    <row r="57" spans="1:9" x14ac:dyDescent="0.3">
      <c r="A57" s="1"/>
      <c r="B57" s="1"/>
      <c r="C57" s="1"/>
      <c r="D57" s="1"/>
      <c r="E57" s="1"/>
      <c r="F57" s="1"/>
      <c r="G57" s="1" t="s">
        <v>246</v>
      </c>
      <c r="H57" s="1"/>
      <c r="I57" s="2">
        <v>1803.54</v>
      </c>
    </row>
    <row r="58" spans="1:9" x14ac:dyDescent="0.3">
      <c r="A58" s="1"/>
      <c r="B58" s="1"/>
      <c r="C58" s="1"/>
      <c r="D58" s="1"/>
      <c r="E58" s="1"/>
      <c r="F58" s="1"/>
      <c r="G58" s="1" t="s">
        <v>245</v>
      </c>
      <c r="H58" s="1"/>
      <c r="I58" s="2">
        <v>17615.95</v>
      </c>
    </row>
    <row r="59" spans="1:9" x14ac:dyDescent="0.3">
      <c r="A59" s="1"/>
      <c r="B59" s="1"/>
      <c r="C59" s="1"/>
      <c r="D59" s="1"/>
      <c r="E59" s="1"/>
      <c r="F59" s="1"/>
      <c r="G59" s="1" t="s">
        <v>244</v>
      </c>
      <c r="H59" s="1"/>
      <c r="I59" s="2">
        <v>4487.6899999999996</v>
      </c>
    </row>
    <row r="60" spans="1:9" ht="15" thickBot="1" x14ac:dyDescent="0.35">
      <c r="A60" s="1"/>
      <c r="B60" s="1"/>
      <c r="C60" s="1"/>
      <c r="D60" s="1"/>
      <c r="E60" s="1"/>
      <c r="F60" s="1"/>
      <c r="G60" s="1" t="s">
        <v>243</v>
      </c>
      <c r="H60" s="1"/>
      <c r="I60" s="5">
        <v>21864.34</v>
      </c>
    </row>
    <row r="61" spans="1:9" x14ac:dyDescent="0.3">
      <c r="A61" s="1"/>
      <c r="B61" s="1"/>
      <c r="C61" s="1"/>
      <c r="D61" s="1"/>
      <c r="E61" s="1"/>
      <c r="F61" s="1" t="s">
        <v>242</v>
      </c>
      <c r="G61" s="1"/>
      <c r="H61" s="1"/>
      <c r="I61" s="2">
        <f>ROUND(SUM(I56:I60),5)</f>
        <v>45771.519999999997</v>
      </c>
    </row>
    <row r="62" spans="1:9" x14ac:dyDescent="0.3">
      <c r="A62" s="1"/>
      <c r="B62" s="1"/>
      <c r="C62" s="1"/>
      <c r="D62" s="1"/>
      <c r="E62" s="1"/>
      <c r="F62" s="1" t="s">
        <v>241</v>
      </c>
      <c r="G62" s="1"/>
      <c r="H62" s="1"/>
      <c r="I62" s="2">
        <v>34635.949999999997</v>
      </c>
    </row>
    <row r="63" spans="1:9" x14ac:dyDescent="0.3">
      <c r="A63" s="1"/>
      <c r="B63" s="1"/>
      <c r="C63" s="1"/>
      <c r="D63" s="1"/>
      <c r="E63" s="1"/>
      <c r="F63" s="1" t="s">
        <v>240</v>
      </c>
      <c r="G63" s="1"/>
      <c r="H63" s="1"/>
      <c r="I63" s="2">
        <v>72374.31</v>
      </c>
    </row>
    <row r="64" spans="1:9" x14ac:dyDescent="0.3">
      <c r="A64" s="1"/>
      <c r="B64" s="1"/>
      <c r="C64" s="1"/>
      <c r="D64" s="1"/>
      <c r="E64" s="1"/>
      <c r="F64" s="1" t="s">
        <v>239</v>
      </c>
      <c r="G64" s="1"/>
      <c r="H64" s="1"/>
      <c r="I64" s="2">
        <v>52122.29</v>
      </c>
    </row>
    <row r="65" spans="1:9" x14ac:dyDescent="0.3">
      <c r="A65" s="1"/>
      <c r="B65" s="1"/>
      <c r="C65" s="1"/>
      <c r="D65" s="1"/>
      <c r="E65" s="1"/>
      <c r="F65" s="1" t="s">
        <v>238</v>
      </c>
      <c r="G65" s="1"/>
      <c r="H65" s="1"/>
      <c r="I65" s="2">
        <v>1526.4</v>
      </c>
    </row>
    <row r="66" spans="1:9" x14ac:dyDescent="0.3">
      <c r="A66" s="1"/>
      <c r="B66" s="1"/>
      <c r="C66" s="1"/>
      <c r="D66" s="1"/>
      <c r="E66" s="1"/>
      <c r="F66" s="1" t="s">
        <v>237</v>
      </c>
      <c r="G66" s="1"/>
      <c r="H66" s="1"/>
      <c r="I66" s="2"/>
    </row>
    <row r="67" spans="1:9" x14ac:dyDescent="0.3">
      <c r="A67" s="1"/>
      <c r="B67" s="1"/>
      <c r="C67" s="1"/>
      <c r="D67" s="1"/>
      <c r="E67" s="1"/>
      <c r="F67" s="1"/>
      <c r="G67" s="1" t="s">
        <v>236</v>
      </c>
      <c r="H67" s="1"/>
      <c r="I67" s="2">
        <v>6857.72</v>
      </c>
    </row>
    <row r="68" spans="1:9" x14ac:dyDescent="0.3">
      <c r="A68" s="1"/>
      <c r="B68" s="1"/>
      <c r="C68" s="1"/>
      <c r="D68" s="1"/>
      <c r="E68" s="1"/>
      <c r="F68" s="1"/>
      <c r="G68" s="1" t="s">
        <v>235</v>
      </c>
      <c r="H68" s="1"/>
      <c r="I68" s="2">
        <v>13230.29</v>
      </c>
    </row>
    <row r="69" spans="1:9" x14ac:dyDescent="0.3">
      <c r="A69" s="1"/>
      <c r="B69" s="1"/>
      <c r="C69" s="1"/>
      <c r="D69" s="1"/>
      <c r="E69" s="1"/>
      <c r="F69" s="1"/>
      <c r="G69" s="1" t="s">
        <v>234</v>
      </c>
      <c r="H69" s="1"/>
      <c r="I69" s="2">
        <v>10786.64</v>
      </c>
    </row>
    <row r="70" spans="1:9" x14ac:dyDescent="0.3">
      <c r="A70" s="1"/>
      <c r="B70" s="1"/>
      <c r="C70" s="1"/>
      <c r="D70" s="1"/>
      <c r="E70" s="1"/>
      <c r="F70" s="1"/>
      <c r="G70" s="1" t="s">
        <v>233</v>
      </c>
      <c r="H70" s="1"/>
      <c r="I70" s="2">
        <v>5218.08</v>
      </c>
    </row>
    <row r="71" spans="1:9" x14ac:dyDescent="0.3">
      <c r="A71" s="1"/>
      <c r="B71" s="1"/>
      <c r="C71" s="1"/>
      <c r="D71" s="1"/>
      <c r="E71" s="1"/>
      <c r="F71" s="1"/>
      <c r="G71" s="1" t="s">
        <v>232</v>
      </c>
      <c r="H71" s="1"/>
      <c r="I71" s="2">
        <v>8993.66</v>
      </c>
    </row>
    <row r="72" spans="1:9" ht="15" thickBot="1" x14ac:dyDescent="0.35">
      <c r="A72" s="1"/>
      <c r="B72" s="1"/>
      <c r="C72" s="1"/>
      <c r="D72" s="1"/>
      <c r="E72" s="1"/>
      <c r="F72" s="1"/>
      <c r="G72" s="1" t="s">
        <v>231</v>
      </c>
      <c r="H72" s="1"/>
      <c r="I72" s="5">
        <v>976.51</v>
      </c>
    </row>
    <row r="73" spans="1:9" x14ac:dyDescent="0.3">
      <c r="A73" s="1"/>
      <c r="B73" s="1"/>
      <c r="C73" s="1"/>
      <c r="D73" s="1"/>
      <c r="E73" s="1"/>
      <c r="F73" s="1" t="s">
        <v>230</v>
      </c>
      <c r="G73" s="1"/>
      <c r="H73" s="1"/>
      <c r="I73" s="2">
        <f>ROUND(SUM(I66:I72),5)</f>
        <v>46062.9</v>
      </c>
    </row>
    <row r="74" spans="1:9" ht="15" thickBot="1" x14ac:dyDescent="0.35">
      <c r="A74" s="1"/>
      <c r="B74" s="1"/>
      <c r="C74" s="1"/>
      <c r="D74" s="1"/>
      <c r="E74" s="1"/>
      <c r="F74" s="1" t="s">
        <v>229</v>
      </c>
      <c r="G74" s="1"/>
      <c r="H74" s="1"/>
      <c r="I74" s="5">
        <v>0</v>
      </c>
    </row>
    <row r="75" spans="1:9" x14ac:dyDescent="0.3">
      <c r="A75" s="1"/>
      <c r="B75" s="1"/>
      <c r="C75" s="1"/>
      <c r="D75" s="1"/>
      <c r="E75" s="1" t="s">
        <v>228</v>
      </c>
      <c r="F75" s="1"/>
      <c r="G75" s="1"/>
      <c r="H75" s="1"/>
      <c r="I75" s="2">
        <f>ROUND(SUM(I54:I55)+SUM(I61:I65)+SUM(I73:I74),5)</f>
        <v>253998.3</v>
      </c>
    </row>
    <row r="76" spans="1:9" x14ac:dyDescent="0.3">
      <c r="A76" s="1"/>
      <c r="B76" s="1"/>
      <c r="C76" s="1"/>
      <c r="D76" s="1"/>
      <c r="E76" s="1" t="s">
        <v>227</v>
      </c>
      <c r="F76" s="1"/>
      <c r="G76" s="1"/>
      <c r="H76" s="1"/>
      <c r="I76" s="2"/>
    </row>
    <row r="77" spans="1:9" x14ac:dyDescent="0.3">
      <c r="A77" s="1"/>
      <c r="B77" s="1"/>
      <c r="C77" s="1"/>
      <c r="D77" s="1"/>
      <c r="E77" s="1"/>
      <c r="F77" s="1" t="s">
        <v>226</v>
      </c>
      <c r="G77" s="1"/>
      <c r="H77" s="1"/>
      <c r="I77" s="2">
        <v>23756.46</v>
      </c>
    </row>
    <row r="78" spans="1:9" x14ac:dyDescent="0.3">
      <c r="A78" s="1"/>
      <c r="B78" s="1"/>
      <c r="C78" s="1"/>
      <c r="D78" s="1"/>
      <c r="E78" s="1"/>
      <c r="F78" s="1" t="s">
        <v>225</v>
      </c>
      <c r="G78" s="1"/>
      <c r="H78" s="1"/>
      <c r="I78" s="2">
        <v>72760.37</v>
      </c>
    </row>
    <row r="79" spans="1:9" x14ac:dyDescent="0.3">
      <c r="A79" s="1"/>
      <c r="B79" s="1"/>
      <c r="C79" s="1"/>
      <c r="D79" s="1"/>
      <c r="E79" s="1"/>
      <c r="F79" s="1" t="s">
        <v>224</v>
      </c>
      <c r="G79" s="1"/>
      <c r="H79" s="1"/>
      <c r="I79" s="2">
        <v>12448.68</v>
      </c>
    </row>
    <row r="80" spans="1:9" x14ac:dyDescent="0.3">
      <c r="A80" s="1"/>
      <c r="B80" s="1"/>
      <c r="C80" s="1"/>
      <c r="D80" s="1"/>
      <c r="E80" s="1"/>
      <c r="F80" s="1" t="s">
        <v>223</v>
      </c>
      <c r="G80" s="1"/>
      <c r="H80" s="1"/>
      <c r="I80" s="2">
        <v>8970.64</v>
      </c>
    </row>
    <row r="81" spans="1:9" x14ac:dyDescent="0.3">
      <c r="A81" s="1"/>
      <c r="B81" s="1"/>
      <c r="C81" s="1"/>
      <c r="D81" s="1"/>
      <c r="E81" s="1"/>
      <c r="F81" s="1" t="s">
        <v>222</v>
      </c>
      <c r="G81" s="1"/>
      <c r="H81" s="1"/>
      <c r="I81" s="2">
        <v>66957.149999999994</v>
      </c>
    </row>
    <row r="82" spans="1:9" x14ac:dyDescent="0.3">
      <c r="A82" s="1"/>
      <c r="B82" s="1"/>
      <c r="C82" s="1"/>
      <c r="D82" s="1"/>
      <c r="E82" s="1"/>
      <c r="F82" s="1" t="s">
        <v>221</v>
      </c>
      <c r="G82" s="1"/>
      <c r="H82" s="1"/>
      <c r="I82" s="2"/>
    </row>
    <row r="83" spans="1:9" x14ac:dyDescent="0.3">
      <c r="A83" s="1"/>
      <c r="B83" s="1"/>
      <c r="C83" s="1"/>
      <c r="D83" s="1"/>
      <c r="E83" s="1"/>
      <c r="F83" s="1"/>
      <c r="G83" s="1" t="s">
        <v>220</v>
      </c>
      <c r="H83" s="1"/>
      <c r="I83" s="2">
        <v>25602.93</v>
      </c>
    </row>
    <row r="84" spans="1:9" x14ac:dyDescent="0.3">
      <c r="A84" s="1"/>
      <c r="B84" s="1"/>
      <c r="C84" s="1"/>
      <c r="D84" s="1"/>
      <c r="E84" s="1"/>
      <c r="F84" s="1"/>
      <c r="G84" s="1" t="s">
        <v>219</v>
      </c>
      <c r="H84" s="1"/>
      <c r="I84" s="2">
        <v>46532.959999999999</v>
      </c>
    </row>
    <row r="85" spans="1:9" x14ac:dyDescent="0.3">
      <c r="A85" s="1"/>
      <c r="B85" s="1"/>
      <c r="C85" s="1"/>
      <c r="D85" s="1"/>
      <c r="E85" s="1"/>
      <c r="F85" s="1"/>
      <c r="G85" s="1" t="s">
        <v>218</v>
      </c>
      <c r="H85" s="1"/>
      <c r="I85" s="2">
        <v>4035.19</v>
      </c>
    </row>
    <row r="86" spans="1:9" x14ac:dyDescent="0.3">
      <c r="A86" s="1"/>
      <c r="B86" s="1"/>
      <c r="C86" s="1"/>
      <c r="D86" s="1"/>
      <c r="E86" s="1"/>
      <c r="F86" s="1"/>
      <c r="G86" s="1" t="s">
        <v>217</v>
      </c>
      <c r="H86" s="1"/>
      <c r="I86" s="2">
        <v>11237.08</v>
      </c>
    </row>
    <row r="87" spans="1:9" ht="15" thickBot="1" x14ac:dyDescent="0.35">
      <c r="A87" s="1"/>
      <c r="B87" s="1"/>
      <c r="C87" s="1"/>
      <c r="D87" s="1"/>
      <c r="E87" s="1"/>
      <c r="F87" s="1"/>
      <c r="G87" s="1" t="s">
        <v>216</v>
      </c>
      <c r="H87" s="1"/>
      <c r="I87" s="5">
        <v>8188.09</v>
      </c>
    </row>
    <row r="88" spans="1:9" x14ac:dyDescent="0.3">
      <c r="A88" s="1"/>
      <c r="B88" s="1"/>
      <c r="C88" s="1"/>
      <c r="D88" s="1"/>
      <c r="E88" s="1"/>
      <c r="F88" s="1" t="s">
        <v>215</v>
      </c>
      <c r="G88" s="1"/>
      <c r="H88" s="1"/>
      <c r="I88" s="2">
        <f>ROUND(SUM(I82:I87),5)</f>
        <v>95596.25</v>
      </c>
    </row>
    <row r="89" spans="1:9" x14ac:dyDescent="0.3">
      <c r="A89" s="1"/>
      <c r="B89" s="1"/>
      <c r="C89" s="1"/>
      <c r="D89" s="1"/>
      <c r="E89" s="1"/>
      <c r="F89" s="1" t="s">
        <v>214</v>
      </c>
      <c r="G89" s="1"/>
      <c r="H89" s="1"/>
      <c r="I89" s="2"/>
    </row>
    <row r="90" spans="1:9" x14ac:dyDescent="0.3">
      <c r="A90" s="1"/>
      <c r="B90" s="1"/>
      <c r="C90" s="1"/>
      <c r="D90" s="1"/>
      <c r="E90" s="1"/>
      <c r="F90" s="1"/>
      <c r="G90" s="1" t="s">
        <v>213</v>
      </c>
      <c r="H90" s="1"/>
      <c r="I90" s="2">
        <v>8318.36</v>
      </c>
    </row>
    <row r="91" spans="1:9" x14ac:dyDescent="0.3">
      <c r="A91" s="1"/>
      <c r="B91" s="1"/>
      <c r="C91" s="1"/>
      <c r="D91" s="1"/>
      <c r="E91" s="1"/>
      <c r="F91" s="1"/>
      <c r="G91" s="1" t="s">
        <v>212</v>
      </c>
      <c r="H91" s="1"/>
      <c r="I91" s="2">
        <v>150</v>
      </c>
    </row>
    <row r="92" spans="1:9" ht="15" thickBot="1" x14ac:dyDescent="0.35">
      <c r="A92" s="1"/>
      <c r="B92" s="1"/>
      <c r="C92" s="1"/>
      <c r="D92" s="1"/>
      <c r="E92" s="1"/>
      <c r="F92" s="1"/>
      <c r="G92" s="1" t="s">
        <v>211</v>
      </c>
      <c r="H92" s="1"/>
      <c r="I92" s="5">
        <v>37500</v>
      </c>
    </row>
    <row r="93" spans="1:9" x14ac:dyDescent="0.3">
      <c r="A93" s="1"/>
      <c r="B93" s="1"/>
      <c r="C93" s="1"/>
      <c r="D93" s="1"/>
      <c r="E93" s="1"/>
      <c r="F93" s="1" t="s">
        <v>210</v>
      </c>
      <c r="G93" s="1"/>
      <c r="H93" s="1"/>
      <c r="I93" s="2">
        <f>ROUND(SUM(I89:I92),5)</f>
        <v>45968.36</v>
      </c>
    </row>
    <row r="94" spans="1:9" x14ac:dyDescent="0.3">
      <c r="A94" s="1"/>
      <c r="B94" s="1"/>
      <c r="C94" s="1"/>
      <c r="D94" s="1"/>
      <c r="E94" s="1"/>
      <c r="F94" s="1" t="s">
        <v>209</v>
      </c>
      <c r="G94" s="1"/>
      <c r="H94" s="1"/>
      <c r="I94" s="2"/>
    </row>
    <row r="95" spans="1:9" x14ac:dyDescent="0.3">
      <c r="A95" s="1"/>
      <c r="B95" s="1"/>
      <c r="C95" s="1"/>
      <c r="D95" s="1"/>
      <c r="E95" s="1"/>
      <c r="F95" s="1"/>
      <c r="G95" s="1" t="s">
        <v>208</v>
      </c>
      <c r="H95" s="1"/>
      <c r="I95" s="2">
        <v>11791.6</v>
      </c>
    </row>
    <row r="96" spans="1:9" x14ac:dyDescent="0.3">
      <c r="A96" s="1"/>
      <c r="B96" s="1"/>
      <c r="C96" s="1"/>
      <c r="D96" s="1"/>
      <c r="E96" s="1"/>
      <c r="F96" s="1"/>
      <c r="G96" s="1" t="s">
        <v>207</v>
      </c>
      <c r="H96" s="1"/>
      <c r="I96" s="2">
        <v>132300.9</v>
      </c>
    </row>
    <row r="97" spans="1:9" x14ac:dyDescent="0.3">
      <c r="A97" s="1"/>
      <c r="B97" s="1"/>
      <c r="C97" s="1"/>
      <c r="D97" s="1"/>
      <c r="E97" s="1"/>
      <c r="F97" s="1"/>
      <c r="G97" s="1" t="s">
        <v>206</v>
      </c>
      <c r="H97" s="1"/>
      <c r="I97" s="2">
        <v>19647.900000000001</v>
      </c>
    </row>
    <row r="98" spans="1:9" x14ac:dyDescent="0.3">
      <c r="A98" s="1"/>
      <c r="B98" s="1"/>
      <c r="C98" s="1"/>
      <c r="D98" s="1"/>
      <c r="E98" s="1"/>
      <c r="F98" s="1"/>
      <c r="G98" s="1" t="s">
        <v>205</v>
      </c>
      <c r="H98" s="1"/>
      <c r="I98" s="2"/>
    </row>
    <row r="99" spans="1:9" x14ac:dyDescent="0.3">
      <c r="A99" s="1"/>
      <c r="B99" s="1"/>
      <c r="C99" s="1"/>
      <c r="D99" s="1"/>
      <c r="E99" s="1"/>
      <c r="F99" s="1"/>
      <c r="G99" s="1"/>
      <c r="H99" s="1" t="s">
        <v>204</v>
      </c>
      <c r="I99" s="2">
        <v>175.42</v>
      </c>
    </row>
    <row r="100" spans="1:9" ht="15" thickBot="1" x14ac:dyDescent="0.35">
      <c r="A100" s="1"/>
      <c r="B100" s="1"/>
      <c r="C100" s="1"/>
      <c r="D100" s="1"/>
      <c r="E100" s="1"/>
      <c r="F100" s="1"/>
      <c r="G100" s="1"/>
      <c r="H100" s="1" t="s">
        <v>203</v>
      </c>
      <c r="I100" s="5">
        <v>61448.34</v>
      </c>
    </row>
    <row r="101" spans="1:9" x14ac:dyDescent="0.3">
      <c r="A101" s="1"/>
      <c r="B101" s="1"/>
      <c r="C101" s="1"/>
      <c r="D101" s="1"/>
      <c r="E101" s="1"/>
      <c r="F101" s="1"/>
      <c r="G101" s="1" t="s">
        <v>202</v>
      </c>
      <c r="H101" s="1"/>
      <c r="I101" s="2">
        <f>ROUND(SUM(I98:I100),5)</f>
        <v>61623.76</v>
      </c>
    </row>
    <row r="102" spans="1:9" ht="15" thickBot="1" x14ac:dyDescent="0.35">
      <c r="A102" s="1"/>
      <c r="B102" s="1"/>
      <c r="C102" s="1"/>
      <c r="D102" s="1"/>
      <c r="E102" s="1"/>
      <c r="F102" s="1"/>
      <c r="G102" s="1" t="s">
        <v>201</v>
      </c>
      <c r="H102" s="1"/>
      <c r="I102" s="5">
        <v>101.6</v>
      </c>
    </row>
    <row r="103" spans="1:9" x14ac:dyDescent="0.3">
      <c r="A103" s="1"/>
      <c r="B103" s="1"/>
      <c r="C103" s="1"/>
      <c r="D103" s="1"/>
      <c r="E103" s="1"/>
      <c r="F103" s="1" t="s">
        <v>200</v>
      </c>
      <c r="G103" s="1"/>
      <c r="H103" s="1"/>
      <c r="I103" s="2">
        <f>ROUND(SUM(I94:I97)+SUM(I101:I102),5)</f>
        <v>225465.76</v>
      </c>
    </row>
    <row r="104" spans="1:9" x14ac:dyDescent="0.3">
      <c r="A104" s="1"/>
      <c r="B104" s="1"/>
      <c r="C104" s="1"/>
      <c r="D104" s="1"/>
      <c r="E104" s="1"/>
      <c r="F104" s="1" t="s">
        <v>199</v>
      </c>
      <c r="G104" s="1"/>
      <c r="H104" s="1"/>
      <c r="I104" s="2"/>
    </row>
    <row r="105" spans="1:9" x14ac:dyDescent="0.3">
      <c r="A105" s="1"/>
      <c r="B105" s="1"/>
      <c r="C105" s="1"/>
      <c r="D105" s="1"/>
      <c r="E105" s="1"/>
      <c r="F105" s="1"/>
      <c r="G105" s="1" t="s">
        <v>198</v>
      </c>
      <c r="H105" s="1"/>
      <c r="I105" s="2"/>
    </row>
    <row r="106" spans="1:9" x14ac:dyDescent="0.3">
      <c r="A106" s="1"/>
      <c r="B106" s="1"/>
      <c r="C106" s="1"/>
      <c r="D106" s="1"/>
      <c r="E106" s="1"/>
      <c r="F106" s="1"/>
      <c r="G106" s="1"/>
      <c r="H106" s="1" t="s">
        <v>197</v>
      </c>
      <c r="I106" s="2">
        <v>161470.46</v>
      </c>
    </row>
    <row r="107" spans="1:9" x14ac:dyDescent="0.3">
      <c r="A107" s="1"/>
      <c r="B107" s="1"/>
      <c r="C107" s="1"/>
      <c r="D107" s="1"/>
      <c r="E107" s="1"/>
      <c r="F107" s="1"/>
      <c r="G107" s="1"/>
      <c r="H107" s="1" t="s">
        <v>196</v>
      </c>
      <c r="I107" s="2">
        <v>211560.81</v>
      </c>
    </row>
    <row r="108" spans="1:9" x14ac:dyDescent="0.3">
      <c r="A108" s="1"/>
      <c r="B108" s="1"/>
      <c r="C108" s="1"/>
      <c r="D108" s="1"/>
      <c r="E108" s="1"/>
      <c r="F108" s="1"/>
      <c r="G108" s="1"/>
      <c r="H108" s="1" t="s">
        <v>195</v>
      </c>
      <c r="I108" s="2">
        <v>189805.69</v>
      </c>
    </row>
    <row r="109" spans="1:9" x14ac:dyDescent="0.3">
      <c r="A109" s="1"/>
      <c r="B109" s="1"/>
      <c r="C109" s="1"/>
      <c r="D109" s="1"/>
      <c r="E109" s="1"/>
      <c r="F109" s="1"/>
      <c r="G109" s="1"/>
      <c r="H109" s="1" t="s">
        <v>194</v>
      </c>
      <c r="I109" s="2">
        <v>304482.15000000002</v>
      </c>
    </row>
    <row r="110" spans="1:9" ht="15" thickBot="1" x14ac:dyDescent="0.35">
      <c r="A110" s="1"/>
      <c r="B110" s="1"/>
      <c r="C110" s="1"/>
      <c r="D110" s="1"/>
      <c r="E110" s="1"/>
      <c r="F110" s="1"/>
      <c r="G110" s="1"/>
      <c r="H110" s="1" t="s">
        <v>193</v>
      </c>
      <c r="I110" s="5">
        <v>3600</v>
      </c>
    </row>
    <row r="111" spans="1:9" x14ac:dyDescent="0.3">
      <c r="A111" s="1"/>
      <c r="B111" s="1"/>
      <c r="C111" s="1"/>
      <c r="D111" s="1"/>
      <c r="E111" s="1"/>
      <c r="F111" s="1"/>
      <c r="G111" s="1" t="s">
        <v>192</v>
      </c>
      <c r="H111" s="1"/>
      <c r="I111" s="2">
        <f>ROUND(SUM(I105:I110),5)</f>
        <v>870919.11</v>
      </c>
    </row>
    <row r="112" spans="1:9" x14ac:dyDescent="0.3">
      <c r="A112" s="1"/>
      <c r="B112" s="1"/>
      <c r="C112" s="1"/>
      <c r="D112" s="1"/>
      <c r="E112" s="1"/>
      <c r="F112" s="1"/>
      <c r="G112" s="1" t="s">
        <v>191</v>
      </c>
      <c r="H112" s="1"/>
      <c r="I112" s="2">
        <v>184479.32</v>
      </c>
    </row>
    <row r="113" spans="1:9" x14ac:dyDescent="0.3">
      <c r="A113" s="1"/>
      <c r="B113" s="1"/>
      <c r="C113" s="1"/>
      <c r="D113" s="1"/>
      <c r="E113" s="1"/>
      <c r="F113" s="1"/>
      <c r="G113" s="1" t="s">
        <v>190</v>
      </c>
      <c r="H113" s="1"/>
      <c r="I113" s="2">
        <v>73125</v>
      </c>
    </row>
    <row r="114" spans="1:9" ht="15" thickBot="1" x14ac:dyDescent="0.35">
      <c r="A114" s="1"/>
      <c r="B114" s="1"/>
      <c r="C114" s="1"/>
      <c r="D114" s="1"/>
      <c r="E114" s="1"/>
      <c r="F114" s="1"/>
      <c r="G114" s="1" t="s">
        <v>189</v>
      </c>
      <c r="H114" s="1"/>
      <c r="I114" s="5">
        <v>197.33</v>
      </c>
    </row>
    <row r="115" spans="1:9" x14ac:dyDescent="0.3">
      <c r="A115" s="1"/>
      <c r="B115" s="1"/>
      <c r="C115" s="1"/>
      <c r="D115" s="1"/>
      <c r="E115" s="1"/>
      <c r="F115" s="1" t="s">
        <v>188</v>
      </c>
      <c r="G115" s="1"/>
      <c r="H115" s="1"/>
      <c r="I115" s="2">
        <f>ROUND(I104+SUM(I111:I114),5)</f>
        <v>1128720.76</v>
      </c>
    </row>
    <row r="116" spans="1:9" x14ac:dyDescent="0.3">
      <c r="A116" s="1"/>
      <c r="B116" s="1"/>
      <c r="C116" s="1"/>
      <c r="D116" s="1"/>
      <c r="E116" s="1"/>
      <c r="F116" s="1" t="s">
        <v>187</v>
      </c>
      <c r="G116" s="1"/>
      <c r="H116" s="1"/>
      <c r="I116" s="2">
        <v>2356.69</v>
      </c>
    </row>
    <row r="117" spans="1:9" x14ac:dyDescent="0.3">
      <c r="A117" s="1"/>
      <c r="B117" s="1"/>
      <c r="C117" s="1"/>
      <c r="D117" s="1"/>
      <c r="E117" s="1"/>
      <c r="F117" s="1" t="s">
        <v>186</v>
      </c>
      <c r="G117" s="1"/>
      <c r="H117" s="1"/>
      <c r="I117" s="2">
        <v>277211.53000000003</v>
      </c>
    </row>
    <row r="118" spans="1:9" x14ac:dyDescent="0.3">
      <c r="A118" s="1"/>
      <c r="B118" s="1"/>
      <c r="C118" s="1"/>
      <c r="D118" s="1"/>
      <c r="E118" s="1"/>
      <c r="F118" s="1" t="s">
        <v>185</v>
      </c>
      <c r="G118" s="1"/>
      <c r="H118" s="1"/>
      <c r="I118" s="2">
        <v>7826.07</v>
      </c>
    </row>
    <row r="119" spans="1:9" x14ac:dyDescent="0.3">
      <c r="A119" s="1"/>
      <c r="B119" s="1"/>
      <c r="C119" s="1"/>
      <c r="D119" s="1"/>
      <c r="E119" s="1"/>
      <c r="F119" s="1" t="s">
        <v>184</v>
      </c>
      <c r="G119" s="1"/>
      <c r="H119" s="1"/>
      <c r="I119" s="2"/>
    </row>
    <row r="120" spans="1:9" x14ac:dyDescent="0.3">
      <c r="A120" s="1"/>
      <c r="B120" s="1"/>
      <c r="C120" s="1"/>
      <c r="D120" s="1"/>
      <c r="E120" s="1"/>
      <c r="F120" s="1"/>
      <c r="G120" s="1" t="s">
        <v>183</v>
      </c>
      <c r="H120" s="1"/>
      <c r="I120" s="2">
        <v>13592.74</v>
      </c>
    </row>
    <row r="121" spans="1:9" x14ac:dyDescent="0.3">
      <c r="A121" s="1"/>
      <c r="B121" s="1"/>
      <c r="C121" s="1"/>
      <c r="D121" s="1"/>
      <c r="E121" s="1"/>
      <c r="F121" s="1"/>
      <c r="G121" s="1" t="s">
        <v>182</v>
      </c>
      <c r="H121" s="1"/>
      <c r="I121" s="2">
        <v>74743.3</v>
      </c>
    </row>
    <row r="122" spans="1:9" x14ac:dyDescent="0.3">
      <c r="A122" s="1"/>
      <c r="B122" s="1"/>
      <c r="C122" s="1"/>
      <c r="D122" s="1"/>
      <c r="E122" s="1"/>
      <c r="F122" s="1"/>
      <c r="G122" s="1" t="s">
        <v>181</v>
      </c>
      <c r="H122" s="1"/>
      <c r="I122" s="2">
        <v>25856.06</v>
      </c>
    </row>
    <row r="123" spans="1:9" x14ac:dyDescent="0.3">
      <c r="A123" s="1"/>
      <c r="B123" s="1"/>
      <c r="C123" s="1"/>
      <c r="D123" s="1"/>
      <c r="E123" s="1"/>
      <c r="F123" s="1"/>
      <c r="G123" s="1" t="s">
        <v>180</v>
      </c>
      <c r="H123" s="1"/>
      <c r="I123" s="2">
        <v>9863.2999999999993</v>
      </c>
    </row>
    <row r="124" spans="1:9" x14ac:dyDescent="0.3">
      <c r="A124" s="1"/>
      <c r="B124" s="1"/>
      <c r="C124" s="1"/>
      <c r="D124" s="1"/>
      <c r="E124" s="1"/>
      <c r="F124" s="1"/>
      <c r="G124" s="1" t="s">
        <v>179</v>
      </c>
      <c r="H124" s="1"/>
      <c r="I124" s="2">
        <v>24313.54</v>
      </c>
    </row>
    <row r="125" spans="1:9" x14ac:dyDescent="0.3">
      <c r="A125" s="1"/>
      <c r="B125" s="1"/>
      <c r="C125" s="1"/>
      <c r="D125" s="1"/>
      <c r="E125" s="1"/>
      <c r="F125" s="1"/>
      <c r="G125" s="1" t="s">
        <v>178</v>
      </c>
      <c r="H125" s="1"/>
      <c r="I125" s="2">
        <v>5081.2700000000004</v>
      </c>
    </row>
    <row r="126" spans="1:9" x14ac:dyDescent="0.3">
      <c r="A126" s="1"/>
      <c r="B126" s="1"/>
      <c r="C126" s="1"/>
      <c r="D126" s="1"/>
      <c r="E126" s="1"/>
      <c r="F126" s="1"/>
      <c r="G126" s="1" t="s">
        <v>177</v>
      </c>
      <c r="H126" s="1"/>
      <c r="I126" s="2">
        <v>33163.82</v>
      </c>
    </row>
    <row r="127" spans="1:9" ht="15" thickBot="1" x14ac:dyDescent="0.35">
      <c r="A127" s="1"/>
      <c r="B127" s="1"/>
      <c r="C127" s="1"/>
      <c r="D127" s="1"/>
      <c r="E127" s="1"/>
      <c r="F127" s="1"/>
      <c r="G127" s="1" t="s">
        <v>176</v>
      </c>
      <c r="H127" s="1"/>
      <c r="I127" s="5">
        <v>3840.64</v>
      </c>
    </row>
    <row r="128" spans="1:9" x14ac:dyDescent="0.3">
      <c r="A128" s="1"/>
      <c r="B128" s="1"/>
      <c r="C128" s="1"/>
      <c r="D128" s="1"/>
      <c r="E128" s="1"/>
      <c r="F128" s="1" t="s">
        <v>175</v>
      </c>
      <c r="G128" s="1"/>
      <c r="H128" s="1"/>
      <c r="I128" s="2">
        <f>ROUND(SUM(I119:I127),5)</f>
        <v>190454.67</v>
      </c>
    </row>
    <row r="129" spans="1:9" ht="15" thickBot="1" x14ac:dyDescent="0.35">
      <c r="A129" s="1"/>
      <c r="B129" s="1"/>
      <c r="C129" s="1"/>
      <c r="D129" s="1"/>
      <c r="E129" s="1"/>
      <c r="F129" s="1" t="s">
        <v>174</v>
      </c>
      <c r="G129" s="1"/>
      <c r="H129" s="1"/>
      <c r="I129" s="5">
        <v>5339.57</v>
      </c>
    </row>
    <row r="130" spans="1:9" x14ac:dyDescent="0.3">
      <c r="A130" s="1"/>
      <c r="B130" s="1"/>
      <c r="C130" s="1"/>
      <c r="D130" s="1"/>
      <c r="E130" s="1" t="s">
        <v>173</v>
      </c>
      <c r="F130" s="1"/>
      <c r="G130" s="1"/>
      <c r="H130" s="1"/>
      <c r="I130" s="2">
        <f>ROUND(SUM(I76:I81)+I88+I93+I103+SUM(I115:I118)+SUM(I128:I129),5)</f>
        <v>2163832.96</v>
      </c>
    </row>
    <row r="131" spans="1:9" x14ac:dyDescent="0.3">
      <c r="A131" s="1"/>
      <c r="B131" s="1"/>
      <c r="C131" s="1"/>
      <c r="D131" s="1"/>
      <c r="E131" s="1" t="s">
        <v>172</v>
      </c>
      <c r="F131" s="1"/>
      <c r="G131" s="1"/>
      <c r="H131" s="1"/>
      <c r="I131" s="2"/>
    </row>
    <row r="132" spans="1:9" x14ac:dyDescent="0.3">
      <c r="A132" s="1"/>
      <c r="B132" s="1"/>
      <c r="C132" s="1"/>
      <c r="D132" s="1"/>
      <c r="E132" s="1"/>
      <c r="F132" s="1" t="s">
        <v>171</v>
      </c>
      <c r="G132" s="1"/>
      <c r="H132" s="1"/>
      <c r="I132" s="2">
        <v>13627.68</v>
      </c>
    </row>
    <row r="133" spans="1:9" x14ac:dyDescent="0.3">
      <c r="A133" s="1"/>
      <c r="B133" s="1"/>
      <c r="C133" s="1"/>
      <c r="D133" s="1"/>
      <c r="E133" s="1"/>
      <c r="F133" s="1" t="s">
        <v>170</v>
      </c>
      <c r="G133" s="1"/>
      <c r="H133" s="1"/>
      <c r="I133" s="2">
        <v>37193.01</v>
      </c>
    </row>
    <row r="134" spans="1:9" x14ac:dyDescent="0.3">
      <c r="A134" s="1"/>
      <c r="B134" s="1"/>
      <c r="C134" s="1"/>
      <c r="D134" s="1"/>
      <c r="E134" s="1"/>
      <c r="F134" s="1" t="s">
        <v>169</v>
      </c>
      <c r="G134" s="1"/>
      <c r="H134" s="1"/>
      <c r="I134" s="2">
        <v>2757</v>
      </c>
    </row>
    <row r="135" spans="1:9" x14ac:dyDescent="0.3">
      <c r="A135" s="1"/>
      <c r="B135" s="1"/>
      <c r="C135" s="1"/>
      <c r="D135" s="1"/>
      <c r="E135" s="1"/>
      <c r="F135" s="1" t="s">
        <v>168</v>
      </c>
      <c r="G135" s="1"/>
      <c r="H135" s="1"/>
      <c r="I135" s="2">
        <v>15072.45</v>
      </c>
    </row>
    <row r="136" spans="1:9" x14ac:dyDescent="0.3">
      <c r="A136" s="1"/>
      <c r="B136" s="1"/>
      <c r="C136" s="1"/>
      <c r="D136" s="1"/>
      <c r="E136" s="1"/>
      <c r="F136" s="1" t="s">
        <v>167</v>
      </c>
      <c r="G136" s="1"/>
      <c r="H136" s="1"/>
      <c r="I136" s="2">
        <v>29453.38</v>
      </c>
    </row>
    <row r="137" spans="1:9" x14ac:dyDescent="0.3">
      <c r="A137" s="1"/>
      <c r="B137" s="1"/>
      <c r="C137" s="1"/>
      <c r="D137" s="1"/>
      <c r="E137" s="1"/>
      <c r="F137" s="1" t="s">
        <v>166</v>
      </c>
      <c r="G137" s="1"/>
      <c r="H137" s="1"/>
      <c r="I137" s="2">
        <v>20591.68</v>
      </c>
    </row>
    <row r="138" spans="1:9" x14ac:dyDescent="0.3">
      <c r="A138" s="1"/>
      <c r="B138" s="1"/>
      <c r="C138" s="1"/>
      <c r="D138" s="1"/>
      <c r="E138" s="1"/>
      <c r="F138" s="1" t="s">
        <v>165</v>
      </c>
      <c r="G138" s="1"/>
      <c r="H138" s="1"/>
      <c r="I138" s="2"/>
    </row>
    <row r="139" spans="1:9" x14ac:dyDescent="0.3">
      <c r="A139" s="1"/>
      <c r="B139" s="1"/>
      <c r="C139" s="1"/>
      <c r="D139" s="1"/>
      <c r="E139" s="1"/>
      <c r="F139" s="1"/>
      <c r="G139" s="1" t="s">
        <v>164</v>
      </c>
      <c r="H139" s="1"/>
      <c r="I139" s="2">
        <v>3350.01</v>
      </c>
    </row>
    <row r="140" spans="1:9" ht="15" thickBot="1" x14ac:dyDescent="0.35">
      <c r="A140" s="1"/>
      <c r="B140" s="1"/>
      <c r="C140" s="1"/>
      <c r="D140" s="1"/>
      <c r="E140" s="1"/>
      <c r="F140" s="1"/>
      <c r="G140" s="1" t="s">
        <v>163</v>
      </c>
      <c r="H140" s="1"/>
      <c r="I140" s="5">
        <v>58547.24</v>
      </c>
    </row>
    <row r="141" spans="1:9" x14ac:dyDescent="0.3">
      <c r="A141" s="1"/>
      <c r="B141" s="1"/>
      <c r="C141" s="1"/>
      <c r="D141" s="1"/>
      <c r="E141" s="1"/>
      <c r="F141" s="1" t="s">
        <v>162</v>
      </c>
      <c r="G141" s="1"/>
      <c r="H141" s="1"/>
      <c r="I141" s="2">
        <f>ROUND(SUM(I138:I140),5)</f>
        <v>61897.25</v>
      </c>
    </row>
    <row r="142" spans="1:9" x14ac:dyDescent="0.3">
      <c r="A142" s="1"/>
      <c r="B142" s="1"/>
      <c r="C142" s="1"/>
      <c r="D142" s="1"/>
      <c r="E142" s="1"/>
      <c r="F142" s="1" t="s">
        <v>161</v>
      </c>
      <c r="G142" s="1"/>
      <c r="H142" s="1"/>
      <c r="I142" s="2">
        <v>8780.2000000000007</v>
      </c>
    </row>
    <row r="143" spans="1:9" x14ac:dyDescent="0.3">
      <c r="A143" s="1"/>
      <c r="B143" s="1"/>
      <c r="C143" s="1"/>
      <c r="D143" s="1"/>
      <c r="E143" s="1"/>
      <c r="F143" s="1" t="s">
        <v>160</v>
      </c>
      <c r="G143" s="1"/>
      <c r="H143" s="1"/>
      <c r="I143" s="2">
        <v>42240.32</v>
      </c>
    </row>
    <row r="144" spans="1:9" x14ac:dyDescent="0.3">
      <c r="A144" s="1"/>
      <c r="B144" s="1"/>
      <c r="C144" s="1"/>
      <c r="D144" s="1"/>
      <c r="E144" s="1"/>
      <c r="F144" s="1" t="s">
        <v>159</v>
      </c>
      <c r="G144" s="1"/>
      <c r="H144" s="1"/>
      <c r="I144" s="2"/>
    </row>
    <row r="145" spans="1:9" x14ac:dyDescent="0.3">
      <c r="A145" s="1"/>
      <c r="B145" s="1"/>
      <c r="C145" s="1"/>
      <c r="D145" s="1"/>
      <c r="E145" s="1"/>
      <c r="F145" s="1"/>
      <c r="G145" s="1" t="s">
        <v>158</v>
      </c>
      <c r="H145" s="1"/>
      <c r="I145" s="2">
        <v>123564.36</v>
      </c>
    </row>
    <row r="146" spans="1:9" x14ac:dyDescent="0.3">
      <c r="A146" s="1"/>
      <c r="B146" s="1"/>
      <c r="C146" s="1"/>
      <c r="D146" s="1"/>
      <c r="E146" s="1"/>
      <c r="F146" s="1"/>
      <c r="G146" s="1" t="s">
        <v>157</v>
      </c>
      <c r="H146" s="1"/>
      <c r="I146" s="2">
        <v>116404.69</v>
      </c>
    </row>
    <row r="147" spans="1:9" x14ac:dyDescent="0.3">
      <c r="A147" s="1"/>
      <c r="B147" s="1"/>
      <c r="C147" s="1"/>
      <c r="D147" s="1"/>
      <c r="E147" s="1"/>
      <c r="F147" s="1"/>
      <c r="G147" s="1" t="s">
        <v>156</v>
      </c>
      <c r="H147" s="1"/>
      <c r="I147" s="2">
        <v>171202.69</v>
      </c>
    </row>
    <row r="148" spans="1:9" x14ac:dyDescent="0.3">
      <c r="A148" s="1"/>
      <c r="B148" s="1"/>
      <c r="C148" s="1"/>
      <c r="D148" s="1"/>
      <c r="E148" s="1"/>
      <c r="F148" s="1"/>
      <c r="G148" s="1" t="s">
        <v>155</v>
      </c>
      <c r="H148" s="1"/>
      <c r="I148" s="2">
        <v>3164.95</v>
      </c>
    </row>
    <row r="149" spans="1:9" ht="15" thickBot="1" x14ac:dyDescent="0.35">
      <c r="A149" s="1"/>
      <c r="B149" s="1"/>
      <c r="C149" s="1"/>
      <c r="D149" s="1"/>
      <c r="E149" s="1"/>
      <c r="F149" s="1"/>
      <c r="G149" s="1" t="s">
        <v>154</v>
      </c>
      <c r="H149" s="1"/>
      <c r="I149" s="5">
        <v>4000</v>
      </c>
    </row>
    <row r="150" spans="1:9" x14ac:dyDescent="0.3">
      <c r="A150" s="1"/>
      <c r="B150" s="1"/>
      <c r="C150" s="1"/>
      <c r="D150" s="1"/>
      <c r="E150" s="1"/>
      <c r="F150" s="1" t="s">
        <v>153</v>
      </c>
      <c r="G150" s="1"/>
      <c r="H150" s="1"/>
      <c r="I150" s="2">
        <f>ROUND(SUM(I144:I149),5)</f>
        <v>418336.69</v>
      </c>
    </row>
    <row r="151" spans="1:9" x14ac:dyDescent="0.3">
      <c r="A151" s="1"/>
      <c r="B151" s="1"/>
      <c r="C151" s="1"/>
      <c r="D151" s="1"/>
      <c r="E151" s="1"/>
      <c r="F151" s="1" t="s">
        <v>152</v>
      </c>
      <c r="G151" s="1"/>
      <c r="H151" s="1"/>
      <c r="I151" s="2">
        <v>8119.06</v>
      </c>
    </row>
    <row r="152" spans="1:9" x14ac:dyDescent="0.3">
      <c r="A152" s="1"/>
      <c r="B152" s="1"/>
      <c r="C152" s="1"/>
      <c r="D152" s="1"/>
      <c r="E152" s="1"/>
      <c r="F152" s="1" t="s">
        <v>151</v>
      </c>
      <c r="G152" s="1"/>
      <c r="H152" s="1"/>
      <c r="I152" s="2">
        <v>4123.63</v>
      </c>
    </row>
    <row r="153" spans="1:9" x14ac:dyDescent="0.3">
      <c r="A153" s="1"/>
      <c r="B153" s="1"/>
      <c r="C153" s="1"/>
      <c r="D153" s="1"/>
      <c r="E153" s="1"/>
      <c r="F153" s="1" t="s">
        <v>150</v>
      </c>
      <c r="G153" s="1"/>
      <c r="H153" s="1"/>
      <c r="I153" s="2">
        <v>3721.95</v>
      </c>
    </row>
    <row r="154" spans="1:9" x14ac:dyDescent="0.3">
      <c r="A154" s="1"/>
      <c r="B154" s="1"/>
      <c r="C154" s="1"/>
      <c r="D154" s="1"/>
      <c r="E154" s="1"/>
      <c r="F154" s="1" t="s">
        <v>149</v>
      </c>
      <c r="G154" s="1"/>
      <c r="H154" s="1"/>
      <c r="I154" s="2">
        <v>11991.02</v>
      </c>
    </row>
    <row r="155" spans="1:9" ht="15" thickBot="1" x14ac:dyDescent="0.35">
      <c r="A155" s="1"/>
      <c r="B155" s="1"/>
      <c r="C155" s="1"/>
      <c r="D155" s="1"/>
      <c r="E155" s="1"/>
      <c r="F155" s="1" t="s">
        <v>148</v>
      </c>
      <c r="G155" s="1"/>
      <c r="H155" s="1"/>
      <c r="I155" s="5">
        <v>75</v>
      </c>
    </row>
    <row r="156" spans="1:9" x14ac:dyDescent="0.3">
      <c r="A156" s="1"/>
      <c r="B156" s="1"/>
      <c r="C156" s="1"/>
      <c r="D156" s="1"/>
      <c r="E156" s="1" t="s">
        <v>147</v>
      </c>
      <c r="F156" s="1"/>
      <c r="G156" s="1"/>
      <c r="H156" s="1"/>
      <c r="I156" s="2">
        <f>ROUND(SUM(I131:I137)+SUM(I141:I143)+SUM(I150:I155),5)</f>
        <v>677980.32</v>
      </c>
    </row>
    <row r="157" spans="1:9" x14ac:dyDescent="0.3">
      <c r="A157" s="1"/>
      <c r="B157" s="1"/>
      <c r="C157" s="1"/>
      <c r="D157" s="1"/>
      <c r="E157" s="1" t="s">
        <v>146</v>
      </c>
      <c r="F157" s="1"/>
      <c r="G157" s="1"/>
      <c r="H157" s="1"/>
      <c r="I157" s="2"/>
    </row>
    <row r="158" spans="1:9" ht="15" thickBot="1" x14ac:dyDescent="0.35">
      <c r="A158" s="1"/>
      <c r="B158" s="1"/>
      <c r="C158" s="1"/>
      <c r="D158" s="1"/>
      <c r="E158" s="1"/>
      <c r="F158" s="1" t="s">
        <v>145</v>
      </c>
      <c r="G158" s="1"/>
      <c r="H158" s="1"/>
      <c r="I158" s="2">
        <v>-15726.71</v>
      </c>
    </row>
    <row r="159" spans="1:9" ht="15" thickBot="1" x14ac:dyDescent="0.35">
      <c r="A159" s="1"/>
      <c r="B159" s="1"/>
      <c r="C159" s="1"/>
      <c r="D159" s="1"/>
      <c r="E159" s="1" t="s">
        <v>144</v>
      </c>
      <c r="F159" s="1"/>
      <c r="G159" s="1"/>
      <c r="H159" s="1"/>
      <c r="I159" s="6">
        <f>ROUND(SUM(I157:I158),5)</f>
        <v>-15726.71</v>
      </c>
    </row>
    <row r="160" spans="1:9" ht="15" thickBot="1" x14ac:dyDescent="0.35">
      <c r="A160" s="1"/>
      <c r="B160" s="1"/>
      <c r="C160" s="1"/>
      <c r="D160" s="1" t="s">
        <v>143</v>
      </c>
      <c r="E160" s="1"/>
      <c r="F160" s="1"/>
      <c r="G160" s="1"/>
      <c r="H160" s="1"/>
      <c r="I160" s="4">
        <f>ROUND(I53+I75+I130+I156+I159,5)</f>
        <v>3080084.87</v>
      </c>
    </row>
    <row r="161" spans="1:9" x14ac:dyDescent="0.3">
      <c r="A161" s="1"/>
      <c r="B161" s="1" t="s">
        <v>142</v>
      </c>
      <c r="C161" s="1"/>
      <c r="D161" s="1"/>
      <c r="E161" s="1"/>
      <c r="F161" s="1"/>
      <c r="G161" s="1"/>
      <c r="H161" s="1"/>
      <c r="I161" s="2">
        <f>ROUND(I2+I52-I160,5)</f>
        <v>210984.91</v>
      </c>
    </row>
    <row r="162" spans="1:9" x14ac:dyDescent="0.3">
      <c r="A162" s="1"/>
      <c r="B162" s="1" t="s">
        <v>141</v>
      </c>
      <c r="C162" s="1"/>
      <c r="D162" s="1"/>
      <c r="E162" s="1"/>
      <c r="F162" s="1"/>
      <c r="G162" s="1"/>
      <c r="H162" s="1"/>
      <c r="I162" s="2"/>
    </row>
    <row r="163" spans="1:9" x14ac:dyDescent="0.3">
      <c r="A163" s="1"/>
      <c r="B163" s="1"/>
      <c r="C163" s="1" t="s">
        <v>140</v>
      </c>
      <c r="D163" s="1"/>
      <c r="E163" s="1"/>
      <c r="F163" s="1"/>
      <c r="G163" s="1"/>
      <c r="H163" s="1"/>
      <c r="I163" s="2"/>
    </row>
    <row r="164" spans="1:9" x14ac:dyDescent="0.3">
      <c r="A164" s="1"/>
      <c r="B164" s="1"/>
      <c r="C164" s="1"/>
      <c r="D164" s="1" t="s">
        <v>139</v>
      </c>
      <c r="E164" s="1"/>
      <c r="F164" s="1"/>
      <c r="G164" s="1"/>
      <c r="H164" s="1"/>
      <c r="I164" s="2"/>
    </row>
    <row r="165" spans="1:9" x14ac:dyDescent="0.3">
      <c r="A165" s="1"/>
      <c r="B165" s="1"/>
      <c r="C165" s="1"/>
      <c r="D165" s="1"/>
      <c r="E165" s="1" t="s">
        <v>138</v>
      </c>
      <c r="F165" s="1"/>
      <c r="G165" s="1"/>
      <c r="H165" s="1"/>
      <c r="I165" s="2">
        <v>56.53</v>
      </c>
    </row>
    <row r="166" spans="1:9" ht="15" thickBot="1" x14ac:dyDescent="0.35">
      <c r="A166" s="1"/>
      <c r="B166" s="1"/>
      <c r="C166" s="1"/>
      <c r="D166" s="1"/>
      <c r="E166" s="1" t="s">
        <v>137</v>
      </c>
      <c r="F166" s="1"/>
      <c r="G166" s="1"/>
      <c r="H166" s="1"/>
      <c r="I166" s="2">
        <v>445.39</v>
      </c>
    </row>
    <row r="167" spans="1:9" ht="15" thickBot="1" x14ac:dyDescent="0.35">
      <c r="A167" s="1"/>
      <c r="B167" s="1"/>
      <c r="C167" s="1"/>
      <c r="D167" s="1" t="s">
        <v>136</v>
      </c>
      <c r="E167" s="1"/>
      <c r="F167" s="1"/>
      <c r="G167" s="1"/>
      <c r="H167" s="1"/>
      <c r="I167" s="4">
        <f>ROUND(SUM(I164:I166),5)</f>
        <v>501.92</v>
      </c>
    </row>
    <row r="168" spans="1:9" x14ac:dyDescent="0.3">
      <c r="A168" s="1"/>
      <c r="B168" s="1"/>
      <c r="C168" s="1" t="s">
        <v>135</v>
      </c>
      <c r="D168" s="1"/>
      <c r="E168" s="1"/>
      <c r="F168" s="1"/>
      <c r="G168" s="1"/>
      <c r="H168" s="1"/>
      <c r="I168" s="2">
        <f>ROUND(I163+I167,5)</f>
        <v>501.92</v>
      </c>
    </row>
    <row r="169" spans="1:9" x14ac:dyDescent="0.3">
      <c r="A169" s="1"/>
      <c r="B169" s="1"/>
      <c r="C169" s="1" t="s">
        <v>134</v>
      </c>
      <c r="D169" s="1"/>
      <c r="E169" s="1"/>
      <c r="F169" s="1"/>
      <c r="G169" s="1"/>
      <c r="H169" s="1"/>
      <c r="I169" s="2"/>
    </row>
    <row r="170" spans="1:9" x14ac:dyDescent="0.3">
      <c r="A170" s="1"/>
      <c r="B170" s="1"/>
      <c r="C170" s="1"/>
      <c r="D170" s="1" t="s">
        <v>133</v>
      </c>
      <c r="E170" s="1"/>
      <c r="F170" s="1"/>
      <c r="G170" s="1"/>
      <c r="H170" s="1"/>
      <c r="I170" s="2">
        <v>2365</v>
      </c>
    </row>
    <row r="171" spans="1:9" x14ac:dyDescent="0.3">
      <c r="A171" s="1"/>
      <c r="B171" s="1"/>
      <c r="C171" s="1"/>
      <c r="D171" s="1" t="s">
        <v>132</v>
      </c>
      <c r="E171" s="1"/>
      <c r="F171" s="1"/>
      <c r="G171" s="1"/>
      <c r="H171" s="1"/>
      <c r="I171" s="2">
        <v>6492.09</v>
      </c>
    </row>
    <row r="172" spans="1:9" ht="15" thickBot="1" x14ac:dyDescent="0.35">
      <c r="A172" s="1"/>
      <c r="B172" s="1"/>
      <c r="C172" s="1"/>
      <c r="D172" s="1" t="s">
        <v>131</v>
      </c>
      <c r="E172" s="1"/>
      <c r="F172" s="1"/>
      <c r="G172" s="1"/>
      <c r="H172" s="1"/>
      <c r="I172" s="2">
        <v>21581.93</v>
      </c>
    </row>
    <row r="173" spans="1:9" ht="15" thickBot="1" x14ac:dyDescent="0.35">
      <c r="A173" s="1"/>
      <c r="B173" s="1"/>
      <c r="C173" s="1" t="s">
        <v>130</v>
      </c>
      <c r="D173" s="1"/>
      <c r="E173" s="1"/>
      <c r="F173" s="1"/>
      <c r="G173" s="1"/>
      <c r="H173" s="1"/>
      <c r="I173" s="6">
        <f>ROUND(SUM(I169:I172),5)</f>
        <v>30439.02</v>
      </c>
    </row>
    <row r="174" spans="1:9" ht="15" thickBot="1" x14ac:dyDescent="0.35">
      <c r="A174" s="1"/>
      <c r="B174" s="1" t="s">
        <v>129</v>
      </c>
      <c r="C174" s="1"/>
      <c r="D174" s="1"/>
      <c r="E174" s="1"/>
      <c r="F174" s="1"/>
      <c r="G174" s="1"/>
      <c r="H174" s="1"/>
      <c r="I174" s="6">
        <f>ROUND(I162+I168-I173,5)</f>
        <v>-29937.1</v>
      </c>
    </row>
    <row r="175" spans="1:9" s="8" customFormat="1" thickBot="1" x14ac:dyDescent="0.35">
      <c r="A175" s="1" t="s">
        <v>121</v>
      </c>
      <c r="B175" s="1"/>
      <c r="C175" s="1"/>
      <c r="D175" s="1"/>
      <c r="E175" s="1"/>
      <c r="F175" s="1"/>
      <c r="G175" s="1"/>
      <c r="H175" s="1"/>
      <c r="I175" s="7">
        <f>ROUND(I161+I174,5)</f>
        <v>181047.81</v>
      </c>
    </row>
    <row r="176" spans="1:9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5:00 PM
&amp;"Calibri,Regular"&amp;10 05/14/26&amp;C&amp;"Calibri,Regular"&amp;12 Live Marketing, LLC
&amp;"Calibri,Regular"&amp;14 Profit &amp;&amp; Loss
&amp;"Calibri,Regular"&amp;10 January through December 2025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4098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4098" r:id="rId4" name="HEADER"/>
      </mc:Fallback>
    </mc:AlternateContent>
    <mc:AlternateContent xmlns:mc="http://schemas.openxmlformats.org/markup-compatibility/2006">
      <mc:Choice Requires="x14">
        <control shapeId="4097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4097" r:id="rId6" name="FILTER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9E8F-DE10-4EC2-977D-08C9C0A9FB0B}">
  <sheetPr codeName="Sheet1"/>
  <dimension ref="A1:G125"/>
  <sheetViews>
    <sheetView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 activeCell="N11" sqref="N11"/>
    </sheetView>
  </sheetViews>
  <sheetFormatPr defaultRowHeight="14.4" x14ac:dyDescent="0.3"/>
  <cols>
    <col min="1" max="5" width="3" style="12" customWidth="1"/>
    <col min="6" max="6" width="31.33203125" style="12" customWidth="1"/>
    <col min="7" max="7" width="11.33203125" style="13" bestFit="1" customWidth="1"/>
  </cols>
  <sheetData>
    <row r="1" spans="1:7" s="11" customFormat="1" ht="15" thickBot="1" x14ac:dyDescent="0.35">
      <c r="A1" s="9"/>
      <c r="B1" s="9"/>
      <c r="C1" s="9"/>
      <c r="D1" s="9"/>
      <c r="E1" s="9"/>
      <c r="F1" s="9"/>
      <c r="G1" s="10" t="s">
        <v>0</v>
      </c>
    </row>
    <row r="2" spans="1:7" ht="15" thickTop="1" x14ac:dyDescent="0.3">
      <c r="A2" s="1" t="s">
        <v>1</v>
      </c>
      <c r="B2" s="1"/>
      <c r="C2" s="1"/>
      <c r="D2" s="1"/>
      <c r="E2" s="1"/>
      <c r="F2" s="1"/>
      <c r="G2" s="2"/>
    </row>
    <row r="3" spans="1:7" x14ac:dyDescent="0.3">
      <c r="A3" s="1"/>
      <c r="B3" s="1" t="s">
        <v>2</v>
      </c>
      <c r="C3" s="1"/>
      <c r="D3" s="1"/>
      <c r="E3" s="1"/>
      <c r="F3" s="1"/>
      <c r="G3" s="2"/>
    </row>
    <row r="4" spans="1:7" x14ac:dyDescent="0.3">
      <c r="A4" s="1"/>
      <c r="B4" s="1"/>
      <c r="C4" s="1" t="s">
        <v>3</v>
      </c>
      <c r="D4" s="1"/>
      <c r="E4" s="1"/>
      <c r="F4" s="1"/>
      <c r="G4" s="2"/>
    </row>
    <row r="5" spans="1:7" x14ac:dyDescent="0.3">
      <c r="A5" s="1"/>
      <c r="B5" s="1"/>
      <c r="C5" s="1"/>
      <c r="D5" s="1" t="s">
        <v>4</v>
      </c>
      <c r="E5" s="1"/>
      <c r="F5" s="1"/>
      <c r="G5" s="2"/>
    </row>
    <row r="6" spans="1:7" x14ac:dyDescent="0.3">
      <c r="A6" s="1"/>
      <c r="B6" s="1"/>
      <c r="C6" s="1"/>
      <c r="D6" s="1"/>
      <c r="E6" s="1" t="s">
        <v>5</v>
      </c>
      <c r="F6" s="1"/>
      <c r="G6" s="2">
        <v>139.21</v>
      </c>
    </row>
    <row r="7" spans="1:7" x14ac:dyDescent="0.3">
      <c r="A7" s="1"/>
      <c r="B7" s="1"/>
      <c r="C7" s="1"/>
      <c r="D7" s="1"/>
      <c r="E7" s="1" t="s">
        <v>6</v>
      </c>
      <c r="F7" s="1"/>
      <c r="G7" s="2">
        <v>2.38</v>
      </c>
    </row>
    <row r="8" spans="1:7" x14ac:dyDescent="0.3">
      <c r="A8" s="1"/>
      <c r="B8" s="1"/>
      <c r="C8" s="1"/>
      <c r="D8" s="1"/>
      <c r="E8" s="1" t="s">
        <v>7</v>
      </c>
      <c r="F8" s="1"/>
      <c r="G8" s="2">
        <v>1134.8800000000001</v>
      </c>
    </row>
    <row r="9" spans="1:7" x14ac:dyDescent="0.3">
      <c r="A9" s="1"/>
      <c r="B9" s="1"/>
      <c r="C9" s="1"/>
      <c r="D9" s="1"/>
      <c r="E9" s="1" t="s">
        <v>8</v>
      </c>
      <c r="F9" s="1"/>
      <c r="G9" s="2">
        <v>-3741.23</v>
      </c>
    </row>
    <row r="10" spans="1:7" x14ac:dyDescent="0.3">
      <c r="A10" s="1"/>
      <c r="B10" s="1"/>
      <c r="C10" s="1"/>
      <c r="D10" s="1"/>
      <c r="E10" s="1" t="s">
        <v>9</v>
      </c>
      <c r="F10" s="1"/>
      <c r="G10" s="2">
        <v>90</v>
      </c>
    </row>
    <row r="11" spans="1:7" x14ac:dyDescent="0.3">
      <c r="A11" s="1"/>
      <c r="B11" s="1"/>
      <c r="C11" s="1"/>
      <c r="D11" s="1"/>
      <c r="E11" s="1" t="s">
        <v>10</v>
      </c>
      <c r="F11" s="1"/>
      <c r="G11" s="2">
        <v>-12827.08</v>
      </c>
    </row>
    <row r="12" spans="1:7" x14ac:dyDescent="0.3">
      <c r="A12" s="1"/>
      <c r="B12" s="1"/>
      <c r="C12" s="1"/>
      <c r="D12" s="1"/>
      <c r="E12" s="1" t="s">
        <v>11</v>
      </c>
      <c r="F12" s="1"/>
      <c r="G12" s="2">
        <v>2769.2</v>
      </c>
    </row>
    <row r="13" spans="1:7" x14ac:dyDescent="0.3">
      <c r="A13" s="1"/>
      <c r="B13" s="1"/>
      <c r="C13" s="1"/>
      <c r="D13" s="1"/>
      <c r="E13" s="1" t="s">
        <v>12</v>
      </c>
      <c r="F13" s="1"/>
      <c r="G13" s="2">
        <v>0.65</v>
      </c>
    </row>
    <row r="14" spans="1:7" ht="15" thickBot="1" x14ac:dyDescent="0.35">
      <c r="A14" s="1"/>
      <c r="B14" s="1"/>
      <c r="C14" s="1"/>
      <c r="D14" s="1"/>
      <c r="E14" s="1" t="s">
        <v>13</v>
      </c>
      <c r="F14" s="1"/>
      <c r="G14" s="3">
        <v>-29896.54</v>
      </c>
    </row>
    <row r="15" spans="1:7" ht="15" thickBot="1" x14ac:dyDescent="0.35">
      <c r="A15" s="1"/>
      <c r="B15" s="1"/>
      <c r="C15" s="1"/>
      <c r="D15" s="1" t="s">
        <v>14</v>
      </c>
      <c r="E15" s="1"/>
      <c r="F15" s="1"/>
      <c r="G15" s="4">
        <f>ROUND(SUM(G5:G14),5)</f>
        <v>-42328.53</v>
      </c>
    </row>
    <row r="16" spans="1:7" x14ac:dyDescent="0.3">
      <c r="A16" s="1"/>
      <c r="B16" s="1"/>
      <c r="C16" s="1" t="s">
        <v>15</v>
      </c>
      <c r="D16" s="1"/>
      <c r="E16" s="1"/>
      <c r="F16" s="1"/>
      <c r="G16" s="2">
        <f>ROUND(G4+G15,5)</f>
        <v>-42328.53</v>
      </c>
    </row>
    <row r="17" spans="1:7" x14ac:dyDescent="0.3">
      <c r="A17" s="1"/>
      <c r="B17" s="1"/>
      <c r="C17" s="1" t="s">
        <v>16</v>
      </c>
      <c r="D17" s="1"/>
      <c r="E17" s="1"/>
      <c r="F17" s="1"/>
      <c r="G17" s="2"/>
    </row>
    <row r="18" spans="1:7" x14ac:dyDescent="0.3">
      <c r="A18" s="1"/>
      <c r="B18" s="1"/>
      <c r="C18" s="1"/>
      <c r="D18" s="1" t="s">
        <v>17</v>
      </c>
      <c r="E18" s="1"/>
      <c r="F18" s="1"/>
      <c r="G18" s="2"/>
    </row>
    <row r="19" spans="1:7" ht="15" thickBot="1" x14ac:dyDescent="0.35">
      <c r="A19" s="1"/>
      <c r="B19" s="1"/>
      <c r="C19" s="1"/>
      <c r="D19" s="1"/>
      <c r="E19" s="1" t="s">
        <v>18</v>
      </c>
      <c r="F19" s="1"/>
      <c r="G19" s="3">
        <v>324170.75</v>
      </c>
    </row>
    <row r="20" spans="1:7" ht="15" thickBot="1" x14ac:dyDescent="0.35">
      <c r="A20" s="1"/>
      <c r="B20" s="1"/>
      <c r="C20" s="1"/>
      <c r="D20" s="1" t="s">
        <v>19</v>
      </c>
      <c r="E20" s="1"/>
      <c r="F20" s="1"/>
      <c r="G20" s="4">
        <f>ROUND(SUM(G18:G19),5)</f>
        <v>324170.75</v>
      </c>
    </row>
    <row r="21" spans="1:7" x14ac:dyDescent="0.3">
      <c r="A21" s="1"/>
      <c r="B21" s="1"/>
      <c r="C21" s="1" t="s">
        <v>20</v>
      </c>
      <c r="D21" s="1"/>
      <c r="E21" s="1"/>
      <c r="F21" s="1"/>
      <c r="G21" s="2">
        <f>ROUND(G17+G20,5)</f>
        <v>324170.75</v>
      </c>
    </row>
    <row r="22" spans="1:7" x14ac:dyDescent="0.3">
      <c r="A22" s="1"/>
      <c r="B22" s="1"/>
      <c r="C22" s="1" t="s">
        <v>21</v>
      </c>
      <c r="D22" s="1"/>
      <c r="E22" s="1"/>
      <c r="F22" s="1"/>
      <c r="G22" s="2"/>
    </row>
    <row r="23" spans="1:7" x14ac:dyDescent="0.3">
      <c r="A23" s="1"/>
      <c r="B23" s="1"/>
      <c r="C23" s="1"/>
      <c r="D23" s="1" t="s">
        <v>22</v>
      </c>
      <c r="E23" s="1"/>
      <c r="F23" s="1"/>
      <c r="G23" s="2"/>
    </row>
    <row r="24" spans="1:7" x14ac:dyDescent="0.3">
      <c r="A24" s="1"/>
      <c r="B24" s="1"/>
      <c r="C24" s="1"/>
      <c r="D24" s="1"/>
      <c r="E24" s="1" t="s">
        <v>23</v>
      </c>
      <c r="F24" s="1"/>
      <c r="G24" s="2">
        <v>325.95</v>
      </c>
    </row>
    <row r="25" spans="1:7" x14ac:dyDescent="0.3">
      <c r="A25" s="1"/>
      <c r="B25" s="1"/>
      <c r="C25" s="1"/>
      <c r="D25" s="1"/>
      <c r="E25" s="1" t="s">
        <v>24</v>
      </c>
      <c r="F25" s="1"/>
      <c r="G25" s="2">
        <v>95816.73</v>
      </c>
    </row>
    <row r="26" spans="1:7" x14ac:dyDescent="0.3">
      <c r="A26" s="1"/>
      <c r="B26" s="1"/>
      <c r="C26" s="1"/>
      <c r="D26" s="1"/>
      <c r="E26" s="1" t="s">
        <v>25</v>
      </c>
      <c r="F26" s="1"/>
      <c r="G26" s="2">
        <v>2216.04</v>
      </c>
    </row>
    <row r="27" spans="1:7" x14ac:dyDescent="0.3">
      <c r="A27" s="1"/>
      <c r="B27" s="1"/>
      <c r="C27" s="1"/>
      <c r="D27" s="1"/>
      <c r="E27" s="1" t="s">
        <v>26</v>
      </c>
      <c r="F27" s="1"/>
      <c r="G27" s="2">
        <v>3465.04</v>
      </c>
    </row>
    <row r="28" spans="1:7" ht="15" thickBot="1" x14ac:dyDescent="0.35">
      <c r="A28" s="1"/>
      <c r="B28" s="1"/>
      <c r="C28" s="1"/>
      <c r="D28" s="1"/>
      <c r="E28" s="1" t="s">
        <v>27</v>
      </c>
      <c r="F28" s="1"/>
      <c r="G28" s="5">
        <v>356705.95</v>
      </c>
    </row>
    <row r="29" spans="1:7" x14ac:dyDescent="0.3">
      <c r="A29" s="1"/>
      <c r="B29" s="1"/>
      <c r="C29" s="1"/>
      <c r="D29" s="1" t="s">
        <v>28</v>
      </c>
      <c r="E29" s="1"/>
      <c r="F29" s="1"/>
      <c r="G29" s="2">
        <f>ROUND(SUM(G23:G28),5)</f>
        <v>458529.71</v>
      </c>
    </row>
    <row r="30" spans="1:7" x14ac:dyDescent="0.3">
      <c r="A30" s="1"/>
      <c r="B30" s="1"/>
      <c r="C30" s="1"/>
      <c r="D30" s="1" t="s">
        <v>29</v>
      </c>
      <c r="E30" s="1"/>
      <c r="F30" s="1"/>
      <c r="G30" s="2"/>
    </row>
    <row r="31" spans="1:7" x14ac:dyDescent="0.3">
      <c r="A31" s="1"/>
      <c r="B31" s="1"/>
      <c r="C31" s="1"/>
      <c r="D31" s="1"/>
      <c r="E31" s="1" t="s">
        <v>30</v>
      </c>
      <c r="F31" s="1"/>
      <c r="G31" s="2">
        <v>97212.72</v>
      </c>
    </row>
    <row r="32" spans="1:7" x14ac:dyDescent="0.3">
      <c r="A32" s="1"/>
      <c r="B32" s="1"/>
      <c r="C32" s="1"/>
      <c r="D32" s="1"/>
      <c r="E32" s="1" t="s">
        <v>31</v>
      </c>
      <c r="F32" s="1"/>
      <c r="G32" s="2">
        <v>29815.58</v>
      </c>
    </row>
    <row r="33" spans="1:7" x14ac:dyDescent="0.3">
      <c r="A33" s="1"/>
      <c r="B33" s="1"/>
      <c r="C33" s="1"/>
      <c r="D33" s="1"/>
      <c r="E33" s="1" t="s">
        <v>32</v>
      </c>
      <c r="F33" s="1"/>
      <c r="G33" s="2">
        <v>86739.87</v>
      </c>
    </row>
    <row r="34" spans="1:7" x14ac:dyDescent="0.3">
      <c r="A34" s="1"/>
      <c r="B34" s="1"/>
      <c r="C34" s="1"/>
      <c r="D34" s="1"/>
      <c r="E34" s="1" t="s">
        <v>33</v>
      </c>
      <c r="F34" s="1"/>
      <c r="G34" s="2">
        <v>20691.75</v>
      </c>
    </row>
    <row r="35" spans="1:7" ht="15" thickBot="1" x14ac:dyDescent="0.35">
      <c r="A35" s="1"/>
      <c r="B35" s="1"/>
      <c r="C35" s="1"/>
      <c r="D35" s="1"/>
      <c r="E35" s="1" t="s">
        <v>34</v>
      </c>
      <c r="F35" s="1"/>
      <c r="G35" s="5">
        <v>340417.18</v>
      </c>
    </row>
    <row r="36" spans="1:7" x14ac:dyDescent="0.3">
      <c r="A36" s="1"/>
      <c r="B36" s="1"/>
      <c r="C36" s="1"/>
      <c r="D36" s="1" t="s">
        <v>35</v>
      </c>
      <c r="E36" s="1"/>
      <c r="F36" s="1"/>
      <c r="G36" s="2">
        <f>ROUND(SUM(G30:G35),5)</f>
        <v>574877.1</v>
      </c>
    </row>
    <row r="37" spans="1:7" x14ac:dyDescent="0.3">
      <c r="A37" s="1"/>
      <c r="B37" s="1"/>
      <c r="C37" s="1"/>
      <c r="D37" s="1" t="s">
        <v>36</v>
      </c>
      <c r="E37" s="1"/>
      <c r="F37" s="1"/>
      <c r="G37" s="2"/>
    </row>
    <row r="38" spans="1:7" x14ac:dyDescent="0.3">
      <c r="A38" s="1"/>
      <c r="B38" s="1"/>
      <c r="C38" s="1"/>
      <c r="D38" s="1"/>
      <c r="E38" s="1" t="s">
        <v>37</v>
      </c>
      <c r="F38" s="1"/>
      <c r="G38" s="2">
        <v>-44179.27</v>
      </c>
    </row>
    <row r="39" spans="1:7" ht="15" thickBot="1" x14ac:dyDescent="0.35">
      <c r="A39" s="1"/>
      <c r="B39" s="1"/>
      <c r="C39" s="1"/>
      <c r="D39" s="1"/>
      <c r="E39" s="1" t="s">
        <v>38</v>
      </c>
      <c r="F39" s="1"/>
      <c r="G39" s="3">
        <v>620.75</v>
      </c>
    </row>
    <row r="40" spans="1:7" ht="15" thickBot="1" x14ac:dyDescent="0.35">
      <c r="A40" s="1"/>
      <c r="B40" s="1"/>
      <c r="C40" s="1"/>
      <c r="D40" s="1" t="s">
        <v>39</v>
      </c>
      <c r="E40" s="1"/>
      <c r="F40" s="1"/>
      <c r="G40" s="6">
        <f>ROUND(SUM(G37:G39),5)</f>
        <v>-43558.52</v>
      </c>
    </row>
    <row r="41" spans="1:7" ht="15" thickBot="1" x14ac:dyDescent="0.35">
      <c r="A41" s="1"/>
      <c r="B41" s="1"/>
      <c r="C41" s="1" t="s">
        <v>40</v>
      </c>
      <c r="D41" s="1"/>
      <c r="E41" s="1"/>
      <c r="F41" s="1"/>
      <c r="G41" s="4">
        <f>ROUND(G22+G29+G36+G40,5)</f>
        <v>989848.29</v>
      </c>
    </row>
    <row r="42" spans="1:7" x14ac:dyDescent="0.3">
      <c r="A42" s="1"/>
      <c r="B42" s="1" t="s">
        <v>41</v>
      </c>
      <c r="C42" s="1"/>
      <c r="D42" s="1"/>
      <c r="E42" s="1"/>
      <c r="F42" s="1"/>
      <c r="G42" s="2">
        <f>ROUND(G3+G16+G21+G41,5)</f>
        <v>1271690.51</v>
      </c>
    </row>
    <row r="43" spans="1:7" x14ac:dyDescent="0.3">
      <c r="A43" s="1"/>
      <c r="B43" s="1" t="s">
        <v>42</v>
      </c>
      <c r="C43" s="1"/>
      <c r="D43" s="1"/>
      <c r="E43" s="1"/>
      <c r="F43" s="1"/>
      <c r="G43" s="2"/>
    </row>
    <row r="44" spans="1:7" x14ac:dyDescent="0.3">
      <c r="A44" s="1"/>
      <c r="B44" s="1"/>
      <c r="C44" s="1" t="s">
        <v>43</v>
      </c>
      <c r="D44" s="1"/>
      <c r="E44" s="1"/>
      <c r="F44" s="1"/>
      <c r="G44" s="2"/>
    </row>
    <row r="45" spans="1:7" x14ac:dyDescent="0.3">
      <c r="A45" s="1"/>
      <c r="B45" s="1"/>
      <c r="C45" s="1"/>
      <c r="D45" s="1" t="s">
        <v>44</v>
      </c>
      <c r="E45" s="1"/>
      <c r="F45" s="1"/>
      <c r="G45" s="2">
        <v>127870.61</v>
      </c>
    </row>
    <row r="46" spans="1:7" ht="15" thickBot="1" x14ac:dyDescent="0.35">
      <c r="A46" s="1"/>
      <c r="B46" s="1"/>
      <c r="C46" s="1"/>
      <c r="D46" s="1" t="s">
        <v>45</v>
      </c>
      <c r="E46" s="1"/>
      <c r="F46" s="1"/>
      <c r="G46" s="5">
        <v>100654.37</v>
      </c>
    </row>
    <row r="47" spans="1:7" x14ac:dyDescent="0.3">
      <c r="A47" s="1"/>
      <c r="B47" s="1"/>
      <c r="C47" s="1" t="s">
        <v>46</v>
      </c>
      <c r="D47" s="1"/>
      <c r="E47" s="1"/>
      <c r="F47" s="1"/>
      <c r="G47" s="2">
        <f>ROUND(SUM(G44:G46),5)</f>
        <v>228524.98</v>
      </c>
    </row>
    <row r="48" spans="1:7" x14ac:dyDescent="0.3">
      <c r="A48" s="1"/>
      <c r="B48" s="1"/>
      <c r="C48" s="1" t="s">
        <v>47</v>
      </c>
      <c r="D48" s="1"/>
      <c r="E48" s="1"/>
      <c r="F48" s="1"/>
      <c r="G48" s="2"/>
    </row>
    <row r="49" spans="1:7" x14ac:dyDescent="0.3">
      <c r="A49" s="1"/>
      <c r="B49" s="1"/>
      <c r="C49" s="1"/>
      <c r="D49" s="1" t="s">
        <v>48</v>
      </c>
      <c r="E49" s="1"/>
      <c r="F49" s="1"/>
      <c r="G49" s="2">
        <v>692314.6</v>
      </c>
    </row>
    <row r="50" spans="1:7" x14ac:dyDescent="0.3">
      <c r="A50" s="1"/>
      <c r="B50" s="1"/>
      <c r="C50" s="1"/>
      <c r="D50" s="1" t="s">
        <v>49</v>
      </c>
      <c r="E50" s="1"/>
      <c r="F50" s="1"/>
      <c r="G50" s="2">
        <v>42926.38</v>
      </c>
    </row>
    <row r="51" spans="1:7" x14ac:dyDescent="0.3">
      <c r="A51" s="1"/>
      <c r="B51" s="1"/>
      <c r="C51" s="1"/>
      <c r="D51" s="1" t="s">
        <v>50</v>
      </c>
      <c r="E51" s="1"/>
      <c r="F51" s="1"/>
      <c r="G51" s="2">
        <v>281642.03000000003</v>
      </c>
    </row>
    <row r="52" spans="1:7" x14ac:dyDescent="0.3">
      <c r="A52" s="1"/>
      <c r="B52" s="1"/>
      <c r="C52" s="1"/>
      <c r="D52" s="1" t="s">
        <v>51</v>
      </c>
      <c r="E52" s="1"/>
      <c r="F52" s="1"/>
      <c r="G52" s="2">
        <v>110550</v>
      </c>
    </row>
    <row r="53" spans="1:7" ht="15" thickBot="1" x14ac:dyDescent="0.35">
      <c r="A53" s="1"/>
      <c r="B53" s="1"/>
      <c r="C53" s="1"/>
      <c r="D53" s="1" t="s">
        <v>52</v>
      </c>
      <c r="E53" s="1"/>
      <c r="F53" s="1"/>
      <c r="G53" s="5">
        <v>512000</v>
      </c>
    </row>
    <row r="54" spans="1:7" x14ac:dyDescent="0.3">
      <c r="A54" s="1"/>
      <c r="B54" s="1"/>
      <c r="C54" s="1" t="s">
        <v>53</v>
      </c>
      <c r="D54" s="1"/>
      <c r="E54" s="1"/>
      <c r="F54" s="1"/>
      <c r="G54" s="2">
        <f>ROUND(SUM(G48:G53),5)</f>
        <v>1639433.01</v>
      </c>
    </row>
    <row r="55" spans="1:7" x14ac:dyDescent="0.3">
      <c r="A55" s="1"/>
      <c r="B55" s="1"/>
      <c r="C55" s="1" t="s">
        <v>54</v>
      </c>
      <c r="D55" s="1"/>
      <c r="E55" s="1"/>
      <c r="F55" s="1"/>
      <c r="G55" s="2">
        <v>-259381.17</v>
      </c>
    </row>
    <row r="56" spans="1:7" ht="15" thickBot="1" x14ac:dyDescent="0.35">
      <c r="A56" s="1"/>
      <c r="B56" s="1"/>
      <c r="C56" s="1" t="s">
        <v>55</v>
      </c>
      <c r="D56" s="1"/>
      <c r="E56" s="1"/>
      <c r="F56" s="1"/>
      <c r="G56" s="5">
        <v>-73027.429999999993</v>
      </c>
    </row>
    <row r="57" spans="1:7" x14ac:dyDescent="0.3">
      <c r="A57" s="1"/>
      <c r="B57" s="1" t="s">
        <v>56</v>
      </c>
      <c r="C57" s="1"/>
      <c r="D57" s="1"/>
      <c r="E57" s="1"/>
      <c r="F57" s="1"/>
      <c r="G57" s="2">
        <f>ROUND(G43+G47+SUM(G54:G56),5)</f>
        <v>1535549.39</v>
      </c>
    </row>
    <row r="58" spans="1:7" x14ac:dyDescent="0.3">
      <c r="A58" s="1"/>
      <c r="B58" s="1" t="s">
        <v>57</v>
      </c>
      <c r="C58" s="1"/>
      <c r="D58" s="1"/>
      <c r="E58" s="1"/>
      <c r="F58" s="1"/>
      <c r="G58" s="2"/>
    </row>
    <row r="59" spans="1:7" ht="15" thickBot="1" x14ac:dyDescent="0.35">
      <c r="A59" s="1"/>
      <c r="B59" s="1"/>
      <c r="C59" s="1" t="s">
        <v>58</v>
      </c>
      <c r="D59" s="1"/>
      <c r="E59" s="1"/>
      <c r="F59" s="1"/>
      <c r="G59" s="3">
        <v>66860</v>
      </c>
    </row>
    <row r="60" spans="1:7" ht="15" thickBot="1" x14ac:dyDescent="0.35">
      <c r="A60" s="1"/>
      <c r="B60" s="1" t="s">
        <v>59</v>
      </c>
      <c r="C60" s="1"/>
      <c r="D60" s="1"/>
      <c r="E60" s="1"/>
      <c r="F60" s="1"/>
      <c r="G60" s="6">
        <f>ROUND(SUM(G58:G59),5)</f>
        <v>66860</v>
      </c>
    </row>
    <row r="61" spans="1:7" s="8" customFormat="1" thickBot="1" x14ac:dyDescent="0.35">
      <c r="A61" s="1" t="s">
        <v>60</v>
      </c>
      <c r="B61" s="1"/>
      <c r="C61" s="1"/>
      <c r="D61" s="1"/>
      <c r="E61" s="1"/>
      <c r="F61" s="1"/>
      <c r="G61" s="7">
        <f>ROUND(G2+G42+G57+G60,5)</f>
        <v>2874099.9</v>
      </c>
    </row>
    <row r="62" spans="1:7" ht="15" thickTop="1" x14ac:dyDescent="0.3">
      <c r="A62" s="1" t="s">
        <v>61</v>
      </c>
      <c r="B62" s="1"/>
      <c r="C62" s="1"/>
      <c r="D62" s="1"/>
      <c r="E62" s="1"/>
      <c r="F62" s="1"/>
      <c r="G62" s="2"/>
    </row>
    <row r="63" spans="1:7" x14ac:dyDescent="0.3">
      <c r="A63" s="1"/>
      <c r="B63" s="1" t="s">
        <v>62</v>
      </c>
      <c r="C63" s="1"/>
      <c r="D63" s="1"/>
      <c r="E63" s="1"/>
      <c r="F63" s="1"/>
      <c r="G63" s="2"/>
    </row>
    <row r="64" spans="1:7" x14ac:dyDescent="0.3">
      <c r="A64" s="1"/>
      <c r="B64" s="1"/>
      <c r="C64" s="1" t="s">
        <v>63</v>
      </c>
      <c r="D64" s="1"/>
      <c r="E64" s="1"/>
      <c r="F64" s="1"/>
      <c r="G64" s="2"/>
    </row>
    <row r="65" spans="1:7" x14ac:dyDescent="0.3">
      <c r="A65" s="1"/>
      <c r="B65" s="1"/>
      <c r="C65" s="1"/>
      <c r="D65" s="1" t="s">
        <v>64</v>
      </c>
      <c r="E65" s="1"/>
      <c r="F65" s="1"/>
      <c r="G65" s="2"/>
    </row>
    <row r="66" spans="1:7" x14ac:dyDescent="0.3">
      <c r="A66" s="1"/>
      <c r="B66" s="1"/>
      <c r="C66" s="1"/>
      <c r="D66" s="1"/>
      <c r="E66" s="1" t="s">
        <v>65</v>
      </c>
      <c r="F66" s="1"/>
      <c r="G66" s="2"/>
    </row>
    <row r="67" spans="1:7" ht="15" thickBot="1" x14ac:dyDescent="0.35">
      <c r="A67" s="1"/>
      <c r="B67" s="1"/>
      <c r="C67" s="1"/>
      <c r="D67" s="1"/>
      <c r="E67" s="1"/>
      <c r="F67" s="1" t="s">
        <v>66</v>
      </c>
      <c r="G67" s="3">
        <v>298274.03999999998</v>
      </c>
    </row>
    <row r="68" spans="1:7" ht="15" thickBot="1" x14ac:dyDescent="0.35">
      <c r="A68" s="1"/>
      <c r="B68" s="1"/>
      <c r="C68" s="1"/>
      <c r="D68" s="1"/>
      <c r="E68" s="1" t="s">
        <v>67</v>
      </c>
      <c r="F68" s="1"/>
      <c r="G68" s="4">
        <f>ROUND(SUM(G66:G67),5)</f>
        <v>298274.03999999998</v>
      </c>
    </row>
    <row r="69" spans="1:7" x14ac:dyDescent="0.3">
      <c r="A69" s="1"/>
      <c r="B69" s="1"/>
      <c r="C69" s="1"/>
      <c r="D69" s="1" t="s">
        <v>68</v>
      </c>
      <c r="E69" s="1"/>
      <c r="F69" s="1"/>
      <c r="G69" s="2">
        <f>ROUND(G65+G68,5)</f>
        <v>298274.03999999998</v>
      </c>
    </row>
    <row r="70" spans="1:7" x14ac:dyDescent="0.3">
      <c r="A70" s="1"/>
      <c r="B70" s="1"/>
      <c r="C70" s="1"/>
      <c r="D70" s="1" t="s">
        <v>69</v>
      </c>
      <c r="E70" s="1"/>
      <c r="F70" s="1"/>
      <c r="G70" s="2"/>
    </row>
    <row r="71" spans="1:7" x14ac:dyDescent="0.3">
      <c r="A71" s="1"/>
      <c r="B71" s="1"/>
      <c r="C71" s="1"/>
      <c r="D71" s="1"/>
      <c r="E71" s="1" t="s">
        <v>70</v>
      </c>
      <c r="F71" s="1"/>
      <c r="G71" s="2"/>
    </row>
    <row r="72" spans="1:7" x14ac:dyDescent="0.3">
      <c r="A72" s="1"/>
      <c r="B72" s="1"/>
      <c r="C72" s="1"/>
      <c r="D72" s="1"/>
      <c r="E72" s="1"/>
      <c r="F72" s="1" t="s">
        <v>71</v>
      </c>
      <c r="G72" s="2">
        <v>5111.79</v>
      </c>
    </row>
    <row r="73" spans="1:7" x14ac:dyDescent="0.3">
      <c r="A73" s="1"/>
      <c r="B73" s="1"/>
      <c r="C73" s="1"/>
      <c r="D73" s="1"/>
      <c r="E73" s="1"/>
      <c r="F73" s="1" t="s">
        <v>72</v>
      </c>
      <c r="G73" s="2">
        <v>-459.84</v>
      </c>
    </row>
    <row r="74" spans="1:7" x14ac:dyDescent="0.3">
      <c r="A74" s="1"/>
      <c r="B74" s="1"/>
      <c r="C74" s="1"/>
      <c r="D74" s="1"/>
      <c r="E74" s="1"/>
      <c r="F74" s="1" t="s">
        <v>73</v>
      </c>
      <c r="G74" s="2">
        <v>4692.1000000000004</v>
      </c>
    </row>
    <row r="75" spans="1:7" x14ac:dyDescent="0.3">
      <c r="A75" s="1"/>
      <c r="B75" s="1"/>
      <c r="C75" s="1"/>
      <c r="D75" s="1"/>
      <c r="E75" s="1"/>
      <c r="F75" s="1" t="s">
        <v>74</v>
      </c>
      <c r="G75" s="2">
        <v>-765.8</v>
      </c>
    </row>
    <row r="76" spans="1:7" x14ac:dyDescent="0.3">
      <c r="A76" s="1"/>
      <c r="B76" s="1"/>
      <c r="C76" s="1"/>
      <c r="D76" s="1"/>
      <c r="E76" s="1"/>
      <c r="F76" s="1" t="s">
        <v>75</v>
      </c>
      <c r="G76" s="2">
        <v>21321.08</v>
      </c>
    </row>
    <row r="77" spans="1:7" x14ac:dyDescent="0.3">
      <c r="A77" s="1"/>
      <c r="B77" s="1"/>
      <c r="C77" s="1"/>
      <c r="D77" s="1"/>
      <c r="E77" s="1"/>
      <c r="F77" s="1" t="s">
        <v>76</v>
      </c>
      <c r="G77" s="2">
        <v>1207.69</v>
      </c>
    </row>
    <row r="78" spans="1:7" x14ac:dyDescent="0.3">
      <c r="A78" s="1"/>
      <c r="B78" s="1"/>
      <c r="C78" s="1"/>
      <c r="D78" s="1"/>
      <c r="E78" s="1"/>
      <c r="F78" s="1" t="s">
        <v>77</v>
      </c>
      <c r="G78" s="2">
        <v>9752.15</v>
      </c>
    </row>
    <row r="79" spans="1:7" ht="15" thickBot="1" x14ac:dyDescent="0.35">
      <c r="A79" s="1"/>
      <c r="B79" s="1"/>
      <c r="C79" s="1"/>
      <c r="D79" s="1"/>
      <c r="E79" s="1"/>
      <c r="F79" s="1" t="s">
        <v>78</v>
      </c>
      <c r="G79" s="3">
        <v>179.47</v>
      </c>
    </row>
    <row r="80" spans="1:7" ht="15" thickBot="1" x14ac:dyDescent="0.35">
      <c r="A80" s="1"/>
      <c r="B80" s="1"/>
      <c r="C80" s="1"/>
      <c r="D80" s="1"/>
      <c r="E80" s="1" t="s">
        <v>79</v>
      </c>
      <c r="F80" s="1"/>
      <c r="G80" s="4">
        <f>ROUND(SUM(G71:G79),5)</f>
        <v>41038.639999999999</v>
      </c>
    </row>
    <row r="81" spans="1:7" x14ac:dyDescent="0.3">
      <c r="A81" s="1"/>
      <c r="B81" s="1"/>
      <c r="C81" s="1"/>
      <c r="D81" s="1" t="s">
        <v>80</v>
      </c>
      <c r="E81" s="1"/>
      <c r="F81" s="1"/>
      <c r="G81" s="2">
        <f>ROUND(G70+G80,5)</f>
        <v>41038.639999999999</v>
      </c>
    </row>
    <row r="82" spans="1:7" x14ac:dyDescent="0.3">
      <c r="A82" s="1"/>
      <c r="B82" s="1"/>
      <c r="C82" s="1"/>
      <c r="D82" s="1" t="s">
        <v>81</v>
      </c>
      <c r="E82" s="1"/>
      <c r="F82" s="1"/>
      <c r="G82" s="2"/>
    </row>
    <row r="83" spans="1:7" x14ac:dyDescent="0.3">
      <c r="A83" s="1"/>
      <c r="B83" s="1"/>
      <c r="C83" s="1"/>
      <c r="D83" s="1"/>
      <c r="E83" s="1" t="s">
        <v>82</v>
      </c>
      <c r="F83" s="1"/>
      <c r="G83" s="2"/>
    </row>
    <row r="84" spans="1:7" ht="15" thickBot="1" x14ac:dyDescent="0.35">
      <c r="A84" s="1"/>
      <c r="B84" s="1"/>
      <c r="C84" s="1"/>
      <c r="D84" s="1"/>
      <c r="E84" s="1"/>
      <c r="F84" s="1" t="s">
        <v>83</v>
      </c>
      <c r="G84" s="5">
        <v>272739.27</v>
      </c>
    </row>
    <row r="85" spans="1:7" x14ac:dyDescent="0.3">
      <c r="A85" s="1"/>
      <c r="B85" s="1"/>
      <c r="C85" s="1"/>
      <c r="D85" s="1"/>
      <c r="E85" s="1" t="s">
        <v>84</v>
      </c>
      <c r="F85" s="1"/>
      <c r="G85" s="2">
        <f>ROUND(SUM(G83:G84),5)</f>
        <v>272739.27</v>
      </c>
    </row>
    <row r="86" spans="1:7" x14ac:dyDescent="0.3">
      <c r="A86" s="1"/>
      <c r="B86" s="1"/>
      <c r="C86" s="1"/>
      <c r="D86" s="1"/>
      <c r="E86" s="1" t="s">
        <v>85</v>
      </c>
      <c r="F86" s="1"/>
      <c r="G86" s="2">
        <v>193304.21</v>
      </c>
    </row>
    <row r="87" spans="1:7" x14ac:dyDescent="0.3">
      <c r="A87" s="1"/>
      <c r="B87" s="1"/>
      <c r="C87" s="1"/>
      <c r="D87" s="1"/>
      <c r="E87" s="1" t="s">
        <v>86</v>
      </c>
      <c r="F87" s="1"/>
      <c r="G87" s="2"/>
    </row>
    <row r="88" spans="1:7" x14ac:dyDescent="0.3">
      <c r="A88" s="1"/>
      <c r="B88" s="1"/>
      <c r="C88" s="1"/>
      <c r="D88" s="1"/>
      <c r="E88" s="1"/>
      <c r="F88" s="1" t="s">
        <v>87</v>
      </c>
      <c r="G88" s="2">
        <v>-113.18</v>
      </c>
    </row>
    <row r="89" spans="1:7" x14ac:dyDescent="0.3">
      <c r="A89" s="1"/>
      <c r="B89" s="1"/>
      <c r="C89" s="1"/>
      <c r="D89" s="1"/>
      <c r="E89" s="1"/>
      <c r="F89" s="1" t="s">
        <v>88</v>
      </c>
      <c r="G89" s="2">
        <v>931.26</v>
      </c>
    </row>
    <row r="90" spans="1:7" x14ac:dyDescent="0.3">
      <c r="A90" s="1"/>
      <c r="B90" s="1"/>
      <c r="C90" s="1"/>
      <c r="D90" s="1"/>
      <c r="E90" s="1"/>
      <c r="F90" s="1" t="s">
        <v>89</v>
      </c>
      <c r="G90" s="2">
        <v>-414.88</v>
      </c>
    </row>
    <row r="91" spans="1:7" x14ac:dyDescent="0.3">
      <c r="A91" s="1"/>
      <c r="B91" s="1"/>
      <c r="C91" s="1"/>
      <c r="D91" s="1"/>
      <c r="E91" s="1"/>
      <c r="F91" s="1" t="s">
        <v>90</v>
      </c>
      <c r="G91" s="2">
        <v>-4013.03</v>
      </c>
    </row>
    <row r="92" spans="1:7" ht="15" thickBot="1" x14ac:dyDescent="0.35">
      <c r="A92" s="1"/>
      <c r="B92" s="1"/>
      <c r="C92" s="1"/>
      <c r="D92" s="1"/>
      <c r="E92" s="1"/>
      <c r="F92" s="1" t="s">
        <v>91</v>
      </c>
      <c r="G92" s="5">
        <v>-200</v>
      </c>
    </row>
    <row r="93" spans="1:7" x14ac:dyDescent="0.3">
      <c r="A93" s="1"/>
      <c r="B93" s="1"/>
      <c r="C93" s="1"/>
      <c r="D93" s="1"/>
      <c r="E93" s="1" t="s">
        <v>92</v>
      </c>
      <c r="F93" s="1"/>
      <c r="G93" s="2">
        <f>ROUND(SUM(G87:G92),5)</f>
        <v>-3809.83</v>
      </c>
    </row>
    <row r="94" spans="1:7" x14ac:dyDescent="0.3">
      <c r="A94" s="1"/>
      <c r="B94" s="1"/>
      <c r="C94" s="1"/>
      <c r="D94" s="1"/>
      <c r="E94" s="1" t="s">
        <v>93</v>
      </c>
      <c r="F94" s="1"/>
      <c r="G94" s="2"/>
    </row>
    <row r="95" spans="1:7" x14ac:dyDescent="0.3">
      <c r="A95" s="1"/>
      <c r="B95" s="1"/>
      <c r="C95" s="1"/>
      <c r="D95" s="1"/>
      <c r="E95" s="1"/>
      <c r="F95" s="1" t="s">
        <v>94</v>
      </c>
      <c r="G95" s="2">
        <v>2500</v>
      </c>
    </row>
    <row r="96" spans="1:7" ht="15" thickBot="1" x14ac:dyDescent="0.35">
      <c r="A96" s="1"/>
      <c r="B96" s="1"/>
      <c r="C96" s="1"/>
      <c r="D96" s="1"/>
      <c r="E96" s="1"/>
      <c r="F96" s="1" t="s">
        <v>95</v>
      </c>
      <c r="G96" s="5">
        <v>515.94000000000005</v>
      </c>
    </row>
    <row r="97" spans="1:7" x14ac:dyDescent="0.3">
      <c r="A97" s="1"/>
      <c r="B97" s="1"/>
      <c r="C97" s="1"/>
      <c r="D97" s="1"/>
      <c r="E97" s="1" t="s">
        <v>96</v>
      </c>
      <c r="F97" s="1"/>
      <c r="G97" s="2">
        <f>ROUND(SUM(G94:G96),5)</f>
        <v>3015.94</v>
      </c>
    </row>
    <row r="98" spans="1:7" x14ac:dyDescent="0.3">
      <c r="A98" s="1"/>
      <c r="B98" s="1"/>
      <c r="C98" s="1"/>
      <c r="D98" s="1"/>
      <c r="E98" s="1" t="s">
        <v>97</v>
      </c>
      <c r="F98" s="1"/>
      <c r="G98" s="2"/>
    </row>
    <row r="99" spans="1:7" x14ac:dyDescent="0.3">
      <c r="A99" s="1"/>
      <c r="B99" s="1"/>
      <c r="C99" s="1"/>
      <c r="D99" s="1"/>
      <c r="E99" s="1"/>
      <c r="F99" s="1" t="s">
        <v>98</v>
      </c>
      <c r="G99" s="2">
        <v>6452.89</v>
      </c>
    </row>
    <row r="100" spans="1:7" ht="15" thickBot="1" x14ac:dyDescent="0.35">
      <c r="A100" s="1"/>
      <c r="B100" s="1"/>
      <c r="C100" s="1"/>
      <c r="D100" s="1"/>
      <c r="E100" s="1"/>
      <c r="F100" s="1" t="s">
        <v>99</v>
      </c>
      <c r="G100" s="3">
        <v>3432.32</v>
      </c>
    </row>
    <row r="101" spans="1:7" ht="15" thickBot="1" x14ac:dyDescent="0.35">
      <c r="A101" s="1"/>
      <c r="B101" s="1"/>
      <c r="C101" s="1"/>
      <c r="D101" s="1"/>
      <c r="E101" s="1" t="s">
        <v>100</v>
      </c>
      <c r="F101" s="1"/>
      <c r="G101" s="6">
        <f>ROUND(SUM(G98:G100),5)</f>
        <v>9885.2099999999991</v>
      </c>
    </row>
    <row r="102" spans="1:7" ht="15" thickBot="1" x14ac:dyDescent="0.35">
      <c r="A102" s="1"/>
      <c r="B102" s="1"/>
      <c r="C102" s="1"/>
      <c r="D102" s="1" t="s">
        <v>101</v>
      </c>
      <c r="E102" s="1"/>
      <c r="F102" s="1"/>
      <c r="G102" s="4">
        <f>ROUND(G82+SUM(G85:G86)+G93+G97+G101,5)</f>
        <v>475134.8</v>
      </c>
    </row>
    <row r="103" spans="1:7" x14ac:dyDescent="0.3">
      <c r="A103" s="1"/>
      <c r="B103" s="1"/>
      <c r="C103" s="1" t="s">
        <v>102</v>
      </c>
      <c r="D103" s="1"/>
      <c r="E103" s="1"/>
      <c r="F103" s="1"/>
      <c r="G103" s="2">
        <f>ROUND(G64+G69+G81+G102,5)</f>
        <v>814447.48</v>
      </c>
    </row>
    <row r="104" spans="1:7" x14ac:dyDescent="0.3">
      <c r="A104" s="1"/>
      <c r="B104" s="1"/>
      <c r="C104" s="1" t="s">
        <v>103</v>
      </c>
      <c r="D104" s="1"/>
      <c r="E104" s="1"/>
      <c r="F104" s="1"/>
      <c r="G104" s="2"/>
    </row>
    <row r="105" spans="1:7" x14ac:dyDescent="0.3">
      <c r="A105" s="1"/>
      <c r="B105" s="1"/>
      <c r="C105" s="1"/>
      <c r="D105" s="1" t="s">
        <v>104</v>
      </c>
      <c r="E105" s="1"/>
      <c r="F105" s="1"/>
      <c r="G105" s="2"/>
    </row>
    <row r="106" spans="1:7" x14ac:dyDescent="0.3">
      <c r="A106" s="1"/>
      <c r="B106" s="1"/>
      <c r="C106" s="1"/>
      <c r="D106" s="1"/>
      <c r="E106" s="1" t="s">
        <v>105</v>
      </c>
      <c r="F106" s="1"/>
      <c r="G106" s="2"/>
    </row>
    <row r="107" spans="1:7" x14ac:dyDescent="0.3">
      <c r="A107" s="1"/>
      <c r="B107" s="1"/>
      <c r="C107" s="1"/>
      <c r="D107" s="1"/>
      <c r="E107" s="1"/>
      <c r="F107" s="1" t="s">
        <v>106</v>
      </c>
      <c r="G107" s="2">
        <v>495288.82</v>
      </c>
    </row>
    <row r="108" spans="1:7" ht="15" thickBot="1" x14ac:dyDescent="0.35">
      <c r="A108" s="1"/>
      <c r="B108" s="1"/>
      <c r="C108" s="1"/>
      <c r="D108" s="1"/>
      <c r="E108" s="1"/>
      <c r="F108" s="1" t="s">
        <v>107</v>
      </c>
      <c r="G108" s="3">
        <v>329440.34999999998</v>
      </c>
    </row>
    <row r="109" spans="1:7" ht="15" thickBot="1" x14ac:dyDescent="0.35">
      <c r="A109" s="1"/>
      <c r="B109" s="1"/>
      <c r="C109" s="1"/>
      <c r="D109" s="1"/>
      <c r="E109" s="1" t="s">
        <v>108</v>
      </c>
      <c r="F109" s="1"/>
      <c r="G109" s="6">
        <f>ROUND(SUM(G106:G108),5)</f>
        <v>824729.17</v>
      </c>
    </row>
    <row r="110" spans="1:7" ht="15" thickBot="1" x14ac:dyDescent="0.35">
      <c r="A110" s="1"/>
      <c r="B110" s="1"/>
      <c r="C110" s="1"/>
      <c r="D110" s="1" t="s">
        <v>109</v>
      </c>
      <c r="E110" s="1"/>
      <c r="F110" s="1"/>
      <c r="G110" s="6">
        <f>ROUND(G105+G109,5)</f>
        <v>824729.17</v>
      </c>
    </row>
    <row r="111" spans="1:7" ht="15" thickBot="1" x14ac:dyDescent="0.35">
      <c r="A111" s="1"/>
      <c r="B111" s="1"/>
      <c r="C111" s="1" t="s">
        <v>110</v>
      </c>
      <c r="D111" s="1"/>
      <c r="E111" s="1"/>
      <c r="F111" s="1"/>
      <c r="G111" s="4">
        <f>ROUND(G104+G110,5)</f>
        <v>824729.17</v>
      </c>
    </row>
    <row r="112" spans="1:7" x14ac:dyDescent="0.3">
      <c r="A112" s="1"/>
      <c r="B112" s="1" t="s">
        <v>111</v>
      </c>
      <c r="C112" s="1"/>
      <c r="D112" s="1"/>
      <c r="E112" s="1"/>
      <c r="F112" s="1"/>
      <c r="G112" s="2">
        <f>ROUND(G63+G103+G111,5)</f>
        <v>1639176.65</v>
      </c>
    </row>
    <row r="113" spans="1:7" x14ac:dyDescent="0.3">
      <c r="A113" s="1"/>
      <c r="B113" s="1" t="s">
        <v>112</v>
      </c>
      <c r="C113" s="1"/>
      <c r="D113" s="1"/>
      <c r="E113" s="1"/>
      <c r="F113" s="1"/>
      <c r="G113" s="2"/>
    </row>
    <row r="114" spans="1:7" x14ac:dyDescent="0.3">
      <c r="A114" s="1"/>
      <c r="B114" s="1"/>
      <c r="C114" s="1" t="s">
        <v>113</v>
      </c>
      <c r="D114" s="1"/>
      <c r="E114" s="1"/>
      <c r="F114" s="1"/>
      <c r="G114" s="2"/>
    </row>
    <row r="115" spans="1:7" x14ac:dyDescent="0.3">
      <c r="A115" s="1"/>
      <c r="B115" s="1"/>
      <c r="C115" s="1"/>
      <c r="D115" s="1" t="s">
        <v>114</v>
      </c>
      <c r="E115" s="1"/>
      <c r="F115" s="1"/>
      <c r="G115" s="2">
        <v>489295.1</v>
      </c>
    </row>
    <row r="116" spans="1:7" x14ac:dyDescent="0.3">
      <c r="A116" s="1"/>
      <c r="B116" s="1"/>
      <c r="C116" s="1"/>
      <c r="D116" s="1" t="s">
        <v>115</v>
      </c>
      <c r="E116" s="1"/>
      <c r="F116" s="1"/>
      <c r="G116" s="2">
        <v>495276.57</v>
      </c>
    </row>
    <row r="117" spans="1:7" x14ac:dyDescent="0.3">
      <c r="A117" s="1"/>
      <c r="B117" s="1"/>
      <c r="C117" s="1"/>
      <c r="D117" s="1" t="s">
        <v>116</v>
      </c>
      <c r="E117" s="1"/>
      <c r="F117" s="1"/>
      <c r="G117" s="2">
        <v>-246436.73</v>
      </c>
    </row>
    <row r="118" spans="1:7" ht="15" thickBot="1" x14ac:dyDescent="0.35">
      <c r="A118" s="1"/>
      <c r="B118" s="1"/>
      <c r="C118" s="1"/>
      <c r="D118" s="1" t="s">
        <v>117</v>
      </c>
      <c r="E118" s="1"/>
      <c r="F118" s="1"/>
      <c r="G118" s="5">
        <v>-71800.66</v>
      </c>
    </row>
    <row r="119" spans="1:7" x14ac:dyDescent="0.3">
      <c r="A119" s="1"/>
      <c r="B119" s="1"/>
      <c r="C119" s="1" t="s">
        <v>118</v>
      </c>
      <c r="D119" s="1"/>
      <c r="E119" s="1"/>
      <c r="F119" s="1"/>
      <c r="G119" s="2">
        <f>ROUND(SUM(G114:G118),5)</f>
        <v>666334.28</v>
      </c>
    </row>
    <row r="120" spans="1:7" x14ac:dyDescent="0.3">
      <c r="A120" s="1"/>
      <c r="B120" s="1"/>
      <c r="C120" s="1" t="s">
        <v>119</v>
      </c>
      <c r="D120" s="1"/>
      <c r="E120" s="1"/>
      <c r="F120" s="1"/>
      <c r="G120" s="2">
        <v>-55045.9</v>
      </c>
    </row>
    <row r="121" spans="1:7" x14ac:dyDescent="0.3">
      <c r="A121" s="1"/>
      <c r="B121" s="1"/>
      <c r="C121" s="1" t="s">
        <v>120</v>
      </c>
      <c r="D121" s="1"/>
      <c r="E121" s="1"/>
      <c r="F121" s="1"/>
      <c r="G121" s="2">
        <v>442587.06</v>
      </c>
    </row>
    <row r="122" spans="1:7" ht="15" thickBot="1" x14ac:dyDescent="0.35">
      <c r="A122" s="1"/>
      <c r="B122" s="1"/>
      <c r="C122" s="1" t="s">
        <v>121</v>
      </c>
      <c r="D122" s="1"/>
      <c r="E122" s="1"/>
      <c r="F122" s="1"/>
      <c r="G122" s="3">
        <v>181047.81</v>
      </c>
    </row>
    <row r="123" spans="1:7" ht="15" thickBot="1" x14ac:dyDescent="0.35">
      <c r="A123" s="1"/>
      <c r="B123" s="1" t="s">
        <v>122</v>
      </c>
      <c r="C123" s="1"/>
      <c r="D123" s="1"/>
      <c r="E123" s="1"/>
      <c r="F123" s="1"/>
      <c r="G123" s="6">
        <f>ROUND(G113+SUM(G119:G122),5)</f>
        <v>1234923.25</v>
      </c>
    </row>
    <row r="124" spans="1:7" s="8" customFormat="1" thickBot="1" x14ac:dyDescent="0.35">
      <c r="A124" s="1" t="s">
        <v>123</v>
      </c>
      <c r="B124" s="1"/>
      <c r="C124" s="1"/>
      <c r="D124" s="1"/>
      <c r="E124" s="1"/>
      <c r="F124" s="1"/>
      <c r="G124" s="7">
        <f>ROUND(G62+G112+G123,5)</f>
        <v>2874099.9</v>
      </c>
    </row>
    <row r="125" spans="1:7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4:53 PM
&amp;"Calibri,Regular"&amp;10 05/14/26&amp;C&amp;"Calibri,Regular"&amp;12 Live Marketing, LLC
&amp;"Calibri,Regular"&amp;14 Balance Sheet
&amp;"Calibri,Regular"&amp;10 As of December 31, 2025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C3A1-6868-4C07-A5A8-C62CA695893D}">
  <sheetPr codeName="Sheet5"/>
  <dimension ref="A1:E252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4.4" x14ac:dyDescent="0.3"/>
  <cols>
    <col min="1" max="1" width="3" style="8" customWidth="1"/>
    <col min="2" max="2" width="35.88671875" style="8" customWidth="1"/>
    <col min="3" max="3" width="12.33203125" bestFit="1" customWidth="1"/>
    <col min="4" max="4" width="2.33203125" customWidth="1"/>
    <col min="5" max="5" width="12.33203125" bestFit="1" customWidth="1"/>
  </cols>
  <sheetData>
    <row r="1" spans="1:5" ht="15" thickBot="1" x14ac:dyDescent="0.35">
      <c r="A1" s="1"/>
      <c r="B1" s="1"/>
      <c r="C1" s="18" t="s">
        <v>128</v>
      </c>
      <c r="D1" s="17"/>
      <c r="E1" s="16"/>
    </row>
    <row r="2" spans="1:5" s="11" customFormat="1" ht="15.6" thickTop="1" thickBot="1" x14ac:dyDescent="0.35">
      <c r="A2" s="9"/>
      <c r="B2" s="9"/>
      <c r="C2" s="14" t="s">
        <v>384</v>
      </c>
      <c r="D2" s="15"/>
      <c r="E2" s="14" t="s">
        <v>383</v>
      </c>
    </row>
    <row r="3" spans="1:5" ht="15" thickTop="1" x14ac:dyDescent="0.3">
      <c r="A3" s="1"/>
      <c r="B3" s="1" t="s">
        <v>4</v>
      </c>
      <c r="C3" s="2">
        <v>0</v>
      </c>
      <c r="D3" s="1"/>
      <c r="E3" s="2"/>
    </row>
    <row r="4" spans="1:5" x14ac:dyDescent="0.3">
      <c r="A4" s="1"/>
      <c r="B4" s="1" t="s">
        <v>382</v>
      </c>
      <c r="C4" s="2">
        <v>0</v>
      </c>
      <c r="D4" s="1"/>
      <c r="E4" s="2"/>
    </row>
    <row r="5" spans="1:5" x14ac:dyDescent="0.3">
      <c r="A5" s="1"/>
      <c r="B5" s="1" t="s">
        <v>5</v>
      </c>
      <c r="C5" s="2">
        <v>20.16</v>
      </c>
      <c r="D5" s="1"/>
      <c r="E5" s="2"/>
    </row>
    <row r="6" spans="1:5" x14ac:dyDescent="0.3">
      <c r="A6" s="1"/>
      <c r="B6" s="1" t="s">
        <v>381</v>
      </c>
      <c r="C6" s="2">
        <v>0</v>
      </c>
      <c r="D6" s="1"/>
      <c r="E6" s="2"/>
    </row>
    <row r="7" spans="1:5" x14ac:dyDescent="0.3">
      <c r="A7" s="1"/>
      <c r="B7" s="1" t="s">
        <v>380</v>
      </c>
      <c r="C7" s="2">
        <v>0</v>
      </c>
      <c r="D7" s="1"/>
      <c r="E7" s="2"/>
    </row>
    <row r="8" spans="1:5" x14ac:dyDescent="0.3">
      <c r="A8" s="1"/>
      <c r="B8" s="1" t="s">
        <v>379</v>
      </c>
      <c r="C8" s="2">
        <v>0</v>
      </c>
      <c r="D8" s="1"/>
      <c r="E8" s="2"/>
    </row>
    <row r="9" spans="1:5" x14ac:dyDescent="0.3">
      <c r="A9" s="1"/>
      <c r="B9" s="1" t="s">
        <v>6</v>
      </c>
      <c r="C9" s="2">
        <v>2.38</v>
      </c>
      <c r="D9" s="1"/>
      <c r="E9" s="2"/>
    </row>
    <row r="10" spans="1:5" x14ac:dyDescent="0.3">
      <c r="A10" s="1"/>
      <c r="B10" s="1" t="s">
        <v>7</v>
      </c>
      <c r="C10" s="2">
        <v>745.33</v>
      </c>
      <c r="D10" s="1"/>
      <c r="E10" s="2"/>
    </row>
    <row r="11" spans="1:5" x14ac:dyDescent="0.3">
      <c r="A11" s="1"/>
      <c r="B11" s="1" t="s">
        <v>8</v>
      </c>
      <c r="C11" s="2"/>
      <c r="D11" s="1"/>
      <c r="E11" s="2">
        <v>6656.68</v>
      </c>
    </row>
    <row r="12" spans="1:5" x14ac:dyDescent="0.3">
      <c r="A12" s="1"/>
      <c r="B12" s="1" t="s">
        <v>9</v>
      </c>
      <c r="C12" s="2">
        <v>382.23</v>
      </c>
      <c r="D12" s="1"/>
      <c r="E12" s="2"/>
    </row>
    <row r="13" spans="1:5" x14ac:dyDescent="0.3">
      <c r="A13" s="1"/>
      <c r="B13" s="1" t="s">
        <v>10</v>
      </c>
      <c r="C13" s="2"/>
      <c r="D13" s="1"/>
      <c r="E13" s="2">
        <v>1428.8</v>
      </c>
    </row>
    <row r="14" spans="1:5" x14ac:dyDescent="0.3">
      <c r="A14" s="1"/>
      <c r="B14" s="1" t="s">
        <v>378</v>
      </c>
      <c r="C14" s="2">
        <v>0</v>
      </c>
      <c r="D14" s="1"/>
      <c r="E14" s="2"/>
    </row>
    <row r="15" spans="1:5" x14ac:dyDescent="0.3">
      <c r="A15" s="1"/>
      <c r="B15" s="1" t="s">
        <v>11</v>
      </c>
      <c r="C15" s="2">
        <v>3068.39</v>
      </c>
      <c r="D15" s="1"/>
      <c r="E15" s="2"/>
    </row>
    <row r="16" spans="1:5" x14ac:dyDescent="0.3">
      <c r="A16" s="1"/>
      <c r="B16" s="1" t="s">
        <v>12</v>
      </c>
      <c r="C16" s="2">
        <v>30248.46</v>
      </c>
      <c r="D16" s="1"/>
      <c r="E16" s="2"/>
    </row>
    <row r="17" spans="1:5" x14ac:dyDescent="0.3">
      <c r="A17" s="1"/>
      <c r="B17" s="1" t="s">
        <v>13</v>
      </c>
      <c r="C17" s="2"/>
      <c r="D17" s="1"/>
      <c r="E17" s="2">
        <v>20746.64</v>
      </c>
    </row>
    <row r="18" spans="1:5" x14ac:dyDescent="0.3">
      <c r="A18" s="1"/>
      <c r="B18" s="1" t="s">
        <v>377</v>
      </c>
      <c r="C18" s="2">
        <v>0</v>
      </c>
      <c r="D18" s="1"/>
      <c r="E18" s="2"/>
    </row>
    <row r="19" spans="1:5" x14ac:dyDescent="0.3">
      <c r="A19" s="1"/>
      <c r="B19" s="1" t="s">
        <v>376</v>
      </c>
      <c r="C19" s="2">
        <v>0</v>
      </c>
      <c r="D19" s="1"/>
      <c r="E19" s="2"/>
    </row>
    <row r="20" spans="1:5" x14ac:dyDescent="0.3">
      <c r="A20" s="1"/>
      <c r="B20" s="1" t="s">
        <v>17</v>
      </c>
      <c r="C20" s="2">
        <v>0</v>
      </c>
      <c r="D20" s="1"/>
      <c r="E20" s="2"/>
    </row>
    <row r="21" spans="1:5" x14ac:dyDescent="0.3">
      <c r="A21" s="1"/>
      <c r="B21" s="1" t="s">
        <v>18</v>
      </c>
      <c r="C21" s="2">
        <v>367285.8</v>
      </c>
      <c r="D21" s="1"/>
      <c r="E21" s="2"/>
    </row>
    <row r="22" spans="1:5" x14ac:dyDescent="0.3">
      <c r="A22" s="1"/>
      <c r="B22" s="1" t="s">
        <v>375</v>
      </c>
      <c r="C22" s="2">
        <v>0</v>
      </c>
      <c r="D22" s="1"/>
      <c r="E22" s="2"/>
    </row>
    <row r="23" spans="1:5" x14ac:dyDescent="0.3">
      <c r="A23" s="1"/>
      <c r="B23" s="1" t="s">
        <v>127</v>
      </c>
      <c r="C23" s="2">
        <v>10415.6</v>
      </c>
      <c r="D23" s="1"/>
      <c r="E23" s="2"/>
    </row>
    <row r="24" spans="1:5" x14ac:dyDescent="0.3">
      <c r="A24" s="1"/>
      <c r="B24" s="1" t="s">
        <v>22</v>
      </c>
      <c r="C24" s="2">
        <v>0</v>
      </c>
      <c r="D24" s="1"/>
      <c r="E24" s="2"/>
    </row>
    <row r="25" spans="1:5" x14ac:dyDescent="0.3">
      <c r="A25" s="1"/>
      <c r="B25" s="1" t="s">
        <v>23</v>
      </c>
      <c r="C25" s="2">
        <v>0</v>
      </c>
      <c r="D25" s="1"/>
      <c r="E25" s="2"/>
    </row>
    <row r="26" spans="1:5" x14ac:dyDescent="0.3">
      <c r="A26" s="1"/>
      <c r="B26" s="1" t="s">
        <v>374</v>
      </c>
      <c r="C26" s="2">
        <v>0</v>
      </c>
      <c r="D26" s="1"/>
      <c r="E26" s="2"/>
    </row>
    <row r="27" spans="1:5" x14ac:dyDescent="0.3">
      <c r="A27" s="1"/>
      <c r="B27" s="1" t="s">
        <v>373</v>
      </c>
      <c r="C27" s="2">
        <v>0</v>
      </c>
      <c r="D27" s="1"/>
      <c r="E27" s="2"/>
    </row>
    <row r="28" spans="1:5" x14ac:dyDescent="0.3">
      <c r="A28" s="1"/>
      <c r="B28" s="1" t="s">
        <v>372</v>
      </c>
      <c r="C28" s="2">
        <v>0</v>
      </c>
      <c r="D28" s="1"/>
      <c r="E28" s="2"/>
    </row>
    <row r="29" spans="1:5" x14ac:dyDescent="0.3">
      <c r="A29" s="1"/>
      <c r="B29" s="1" t="s">
        <v>371</v>
      </c>
      <c r="C29" s="2">
        <v>0</v>
      </c>
      <c r="D29" s="1"/>
      <c r="E29" s="2"/>
    </row>
    <row r="30" spans="1:5" x14ac:dyDescent="0.3">
      <c r="A30" s="1"/>
      <c r="B30" s="1" t="s">
        <v>370</v>
      </c>
      <c r="C30" s="2">
        <v>0</v>
      </c>
      <c r="D30" s="1"/>
      <c r="E30" s="2"/>
    </row>
    <row r="31" spans="1:5" x14ac:dyDescent="0.3">
      <c r="A31" s="1"/>
      <c r="B31" s="1" t="s">
        <v>24</v>
      </c>
      <c r="C31" s="2">
        <v>61722.86</v>
      </c>
      <c r="D31" s="1"/>
      <c r="E31" s="2"/>
    </row>
    <row r="32" spans="1:5" x14ac:dyDescent="0.3">
      <c r="A32" s="1"/>
      <c r="B32" s="1" t="s">
        <v>369</v>
      </c>
      <c r="C32" s="2">
        <v>0</v>
      </c>
      <c r="D32" s="1"/>
      <c r="E32" s="2"/>
    </row>
    <row r="33" spans="1:5" x14ac:dyDescent="0.3">
      <c r="A33" s="1"/>
      <c r="B33" s="1" t="s">
        <v>368</v>
      </c>
      <c r="C33" s="2">
        <v>0</v>
      </c>
      <c r="D33" s="1"/>
      <c r="E33" s="2"/>
    </row>
    <row r="34" spans="1:5" x14ac:dyDescent="0.3">
      <c r="A34" s="1"/>
      <c r="B34" s="1" t="s">
        <v>367</v>
      </c>
      <c r="C34" s="2">
        <v>0</v>
      </c>
      <c r="D34" s="1"/>
      <c r="E34" s="2"/>
    </row>
    <row r="35" spans="1:5" x14ac:dyDescent="0.3">
      <c r="A35" s="1"/>
      <c r="B35" s="1" t="s">
        <v>25</v>
      </c>
      <c r="C35" s="2"/>
      <c r="D35" s="1"/>
      <c r="E35" s="2">
        <v>26231.05</v>
      </c>
    </row>
    <row r="36" spans="1:5" x14ac:dyDescent="0.3">
      <c r="A36" s="1"/>
      <c r="B36" s="1" t="s">
        <v>366</v>
      </c>
      <c r="C36" s="2">
        <v>0</v>
      </c>
      <c r="D36" s="1"/>
      <c r="E36" s="2"/>
    </row>
    <row r="37" spans="1:5" x14ac:dyDescent="0.3">
      <c r="A37" s="1"/>
      <c r="B37" s="1" t="s">
        <v>26</v>
      </c>
      <c r="C37" s="2">
        <v>26289.09</v>
      </c>
      <c r="D37" s="1"/>
      <c r="E37" s="2"/>
    </row>
    <row r="38" spans="1:5" x14ac:dyDescent="0.3">
      <c r="A38" s="1"/>
      <c r="B38" s="1" t="s">
        <v>27</v>
      </c>
      <c r="C38" s="2">
        <v>339300</v>
      </c>
      <c r="D38" s="1"/>
      <c r="E38" s="2"/>
    </row>
    <row r="39" spans="1:5" x14ac:dyDescent="0.3">
      <c r="A39" s="1"/>
      <c r="B39" s="1" t="s">
        <v>365</v>
      </c>
      <c r="C39" s="2">
        <v>0</v>
      </c>
      <c r="D39" s="1"/>
      <c r="E39" s="2"/>
    </row>
    <row r="40" spans="1:5" x14ac:dyDescent="0.3">
      <c r="A40" s="1"/>
      <c r="B40" s="1" t="s">
        <v>29</v>
      </c>
      <c r="C40" s="2">
        <v>0</v>
      </c>
      <c r="D40" s="1"/>
      <c r="E40" s="2"/>
    </row>
    <row r="41" spans="1:5" x14ac:dyDescent="0.3">
      <c r="A41" s="1"/>
      <c r="B41" s="1" t="s">
        <v>30</v>
      </c>
      <c r="C41" s="2">
        <v>3197.73</v>
      </c>
      <c r="D41" s="1"/>
      <c r="E41" s="2"/>
    </row>
    <row r="42" spans="1:5" x14ac:dyDescent="0.3">
      <c r="A42" s="1"/>
      <c r="B42" s="1" t="s">
        <v>31</v>
      </c>
      <c r="C42" s="2">
        <v>25790.74</v>
      </c>
      <c r="D42" s="1"/>
      <c r="E42" s="2"/>
    </row>
    <row r="43" spans="1:5" x14ac:dyDescent="0.3">
      <c r="A43" s="1"/>
      <c r="B43" s="1" t="s">
        <v>364</v>
      </c>
      <c r="C43" s="2">
        <v>0</v>
      </c>
      <c r="D43" s="1"/>
      <c r="E43" s="2"/>
    </row>
    <row r="44" spans="1:5" x14ac:dyDescent="0.3">
      <c r="A44" s="1"/>
      <c r="B44" s="1" t="s">
        <v>32</v>
      </c>
      <c r="C44" s="2">
        <v>91979.53</v>
      </c>
      <c r="D44" s="1"/>
      <c r="E44" s="2"/>
    </row>
    <row r="45" spans="1:5" x14ac:dyDescent="0.3">
      <c r="A45" s="1"/>
      <c r="B45" s="1" t="s">
        <v>33</v>
      </c>
      <c r="C45" s="2">
        <v>17190.849999999999</v>
      </c>
      <c r="D45" s="1"/>
      <c r="E45" s="2"/>
    </row>
    <row r="46" spans="1:5" x14ac:dyDescent="0.3">
      <c r="A46" s="1"/>
      <c r="B46" s="1" t="s">
        <v>34</v>
      </c>
      <c r="C46" s="2">
        <v>320457.34000000003</v>
      </c>
      <c r="D46" s="1"/>
      <c r="E46" s="2"/>
    </row>
    <row r="47" spans="1:5" x14ac:dyDescent="0.3">
      <c r="A47" s="1"/>
      <c r="B47" s="1" t="s">
        <v>37</v>
      </c>
      <c r="C47" s="2"/>
      <c r="D47" s="1"/>
      <c r="E47" s="2">
        <v>13238.34</v>
      </c>
    </row>
    <row r="48" spans="1:5" x14ac:dyDescent="0.3">
      <c r="A48" s="1"/>
      <c r="B48" s="1" t="s">
        <v>38</v>
      </c>
      <c r="C48" s="2">
        <v>21136.55</v>
      </c>
      <c r="D48" s="1"/>
      <c r="E48" s="2"/>
    </row>
    <row r="49" spans="1:5" x14ac:dyDescent="0.3">
      <c r="A49" s="1"/>
      <c r="B49" s="1" t="s">
        <v>363</v>
      </c>
      <c r="C49" s="2">
        <v>0</v>
      </c>
      <c r="D49" s="1"/>
      <c r="E49" s="2"/>
    </row>
    <row r="50" spans="1:5" x14ac:dyDescent="0.3">
      <c r="A50" s="1"/>
      <c r="B50" s="1" t="s">
        <v>362</v>
      </c>
      <c r="C50" s="2">
        <v>0</v>
      </c>
      <c r="D50" s="1"/>
      <c r="E50" s="2"/>
    </row>
    <row r="51" spans="1:5" x14ac:dyDescent="0.3">
      <c r="A51" s="1"/>
      <c r="B51" s="1" t="s">
        <v>43</v>
      </c>
      <c r="C51" s="2">
        <v>0</v>
      </c>
      <c r="D51" s="1"/>
      <c r="E51" s="2"/>
    </row>
    <row r="52" spans="1:5" x14ac:dyDescent="0.3">
      <c r="A52" s="1"/>
      <c r="B52" s="1" t="s">
        <v>44</v>
      </c>
      <c r="C52" s="2">
        <v>127870.61</v>
      </c>
      <c r="D52" s="1"/>
      <c r="E52" s="2"/>
    </row>
    <row r="53" spans="1:5" x14ac:dyDescent="0.3">
      <c r="A53" s="1"/>
      <c r="B53" s="1" t="s">
        <v>361</v>
      </c>
      <c r="C53" s="2">
        <v>0</v>
      </c>
      <c r="D53" s="1"/>
      <c r="E53" s="2"/>
    </row>
    <row r="54" spans="1:5" x14ac:dyDescent="0.3">
      <c r="A54" s="1"/>
      <c r="B54" s="1" t="s">
        <v>45</v>
      </c>
      <c r="C54" s="2">
        <v>100654.37</v>
      </c>
      <c r="D54" s="1"/>
      <c r="E54" s="2"/>
    </row>
    <row r="55" spans="1:5" x14ac:dyDescent="0.3">
      <c r="A55" s="1"/>
      <c r="B55" s="1" t="s">
        <v>360</v>
      </c>
      <c r="C55" s="2">
        <v>0</v>
      </c>
      <c r="D55" s="1"/>
      <c r="E55" s="2"/>
    </row>
    <row r="56" spans="1:5" x14ac:dyDescent="0.3">
      <c r="A56" s="1"/>
      <c r="B56" s="1" t="s">
        <v>48</v>
      </c>
      <c r="C56" s="2">
        <v>692314.6</v>
      </c>
      <c r="D56" s="1"/>
      <c r="E56" s="2"/>
    </row>
    <row r="57" spans="1:5" x14ac:dyDescent="0.3">
      <c r="A57" s="1"/>
      <c r="B57" s="1" t="s">
        <v>49</v>
      </c>
      <c r="C57" s="2">
        <v>42926.38</v>
      </c>
      <c r="D57" s="1"/>
      <c r="E57" s="2"/>
    </row>
    <row r="58" spans="1:5" x14ac:dyDescent="0.3">
      <c r="A58" s="1"/>
      <c r="B58" s="1" t="s">
        <v>50</v>
      </c>
      <c r="C58" s="2">
        <v>269120.84000000003</v>
      </c>
      <c r="D58" s="1"/>
      <c r="E58" s="2"/>
    </row>
    <row r="59" spans="1:5" x14ac:dyDescent="0.3">
      <c r="A59" s="1"/>
      <c r="B59" s="1" t="s">
        <v>359</v>
      </c>
      <c r="C59" s="2">
        <v>0</v>
      </c>
      <c r="D59" s="1"/>
      <c r="E59" s="2"/>
    </row>
    <row r="60" spans="1:5" x14ac:dyDescent="0.3">
      <c r="A60" s="1"/>
      <c r="B60" s="1" t="s">
        <v>51</v>
      </c>
      <c r="C60" s="2">
        <v>110550</v>
      </c>
      <c r="D60" s="1"/>
      <c r="E60" s="2"/>
    </row>
    <row r="61" spans="1:5" x14ac:dyDescent="0.3">
      <c r="A61" s="1"/>
      <c r="B61" s="1" t="s">
        <v>358</v>
      </c>
      <c r="C61" s="2">
        <v>0</v>
      </c>
      <c r="D61" s="1"/>
      <c r="E61" s="2"/>
    </row>
    <row r="62" spans="1:5" x14ac:dyDescent="0.3">
      <c r="A62" s="1"/>
      <c r="B62" s="1" t="s">
        <v>52</v>
      </c>
      <c r="C62" s="2">
        <v>512000</v>
      </c>
      <c r="D62" s="1"/>
      <c r="E62" s="2"/>
    </row>
    <row r="63" spans="1:5" x14ac:dyDescent="0.3">
      <c r="A63" s="1"/>
      <c r="B63" s="1" t="s">
        <v>54</v>
      </c>
      <c r="C63" s="2"/>
      <c r="D63" s="1"/>
      <c r="E63" s="2">
        <v>252889.08</v>
      </c>
    </row>
    <row r="64" spans="1:5" x14ac:dyDescent="0.3">
      <c r="A64" s="1"/>
      <c r="B64" s="1" t="s">
        <v>55</v>
      </c>
      <c r="C64" s="2"/>
      <c r="D64" s="1"/>
      <c r="E64" s="2">
        <v>70662.429999999993</v>
      </c>
    </row>
    <row r="65" spans="1:5" x14ac:dyDescent="0.3">
      <c r="A65" s="1"/>
      <c r="B65" s="1" t="s">
        <v>58</v>
      </c>
      <c r="C65" s="2">
        <v>66860</v>
      </c>
      <c r="D65" s="1"/>
      <c r="E65" s="2"/>
    </row>
    <row r="66" spans="1:5" x14ac:dyDescent="0.3">
      <c r="A66" s="1"/>
      <c r="B66" s="1" t="s">
        <v>65</v>
      </c>
      <c r="C66" s="2">
        <v>0</v>
      </c>
      <c r="D66" s="1"/>
      <c r="E66" s="2"/>
    </row>
    <row r="67" spans="1:5" x14ac:dyDescent="0.3">
      <c r="A67" s="1"/>
      <c r="B67" s="1" t="s">
        <v>66</v>
      </c>
      <c r="C67" s="2"/>
      <c r="D67" s="1"/>
      <c r="E67" s="2">
        <v>256130.7</v>
      </c>
    </row>
    <row r="68" spans="1:5" x14ac:dyDescent="0.3">
      <c r="A68" s="1"/>
      <c r="B68" s="1" t="s">
        <v>70</v>
      </c>
      <c r="C68" s="2"/>
      <c r="D68" s="1"/>
      <c r="E68" s="2">
        <v>179.47</v>
      </c>
    </row>
    <row r="69" spans="1:5" x14ac:dyDescent="0.3">
      <c r="A69" s="1"/>
      <c r="B69" s="1" t="s">
        <v>71</v>
      </c>
      <c r="C69" s="2"/>
      <c r="D69" s="1"/>
      <c r="E69" s="2">
        <v>4917.66</v>
      </c>
    </row>
    <row r="70" spans="1:5" x14ac:dyDescent="0.3">
      <c r="A70" s="1"/>
      <c r="B70" s="1" t="s">
        <v>72</v>
      </c>
      <c r="C70" s="2"/>
      <c r="D70" s="1"/>
      <c r="E70" s="2">
        <v>20810.099999999999</v>
      </c>
    </row>
    <row r="71" spans="1:5" x14ac:dyDescent="0.3">
      <c r="A71" s="1"/>
      <c r="B71" s="1" t="s">
        <v>73</v>
      </c>
      <c r="C71" s="2"/>
      <c r="D71" s="1"/>
      <c r="E71" s="2">
        <v>5729.04</v>
      </c>
    </row>
    <row r="72" spans="1:5" x14ac:dyDescent="0.3">
      <c r="A72" s="1"/>
      <c r="B72" s="1" t="s">
        <v>74</v>
      </c>
      <c r="C72" s="2"/>
      <c r="D72" s="1"/>
      <c r="E72" s="2">
        <v>8133.88</v>
      </c>
    </row>
    <row r="73" spans="1:5" x14ac:dyDescent="0.3">
      <c r="A73" s="1"/>
      <c r="B73" s="1" t="s">
        <v>75</v>
      </c>
      <c r="C73" s="2"/>
      <c r="D73" s="1"/>
      <c r="E73" s="2">
        <v>1082.51</v>
      </c>
    </row>
    <row r="74" spans="1:5" x14ac:dyDescent="0.3">
      <c r="A74" s="1"/>
      <c r="B74" s="1" t="s">
        <v>76</v>
      </c>
      <c r="C74" s="2"/>
      <c r="D74" s="1"/>
      <c r="E74" s="2">
        <v>4619.3900000000003</v>
      </c>
    </row>
    <row r="75" spans="1:5" x14ac:dyDescent="0.3">
      <c r="A75" s="1"/>
      <c r="B75" s="1" t="s">
        <v>77</v>
      </c>
      <c r="C75" s="2"/>
      <c r="D75" s="1"/>
      <c r="E75" s="2">
        <v>1834.25</v>
      </c>
    </row>
    <row r="76" spans="1:5" x14ac:dyDescent="0.3">
      <c r="A76" s="1"/>
      <c r="B76" s="1" t="s">
        <v>357</v>
      </c>
      <c r="C76" s="2">
        <v>0</v>
      </c>
      <c r="D76" s="1"/>
      <c r="E76" s="2"/>
    </row>
    <row r="77" spans="1:5" x14ac:dyDescent="0.3">
      <c r="A77" s="1"/>
      <c r="B77" s="1" t="s">
        <v>356</v>
      </c>
      <c r="C77" s="2">
        <v>0</v>
      </c>
      <c r="D77" s="1"/>
      <c r="E77" s="2"/>
    </row>
    <row r="78" spans="1:5" x14ac:dyDescent="0.3">
      <c r="A78" s="1"/>
      <c r="B78" s="1" t="s">
        <v>83</v>
      </c>
      <c r="C78" s="2"/>
      <c r="D78" s="1"/>
      <c r="E78" s="2">
        <v>222852.69</v>
      </c>
    </row>
    <row r="79" spans="1:5" x14ac:dyDescent="0.3">
      <c r="A79" s="1"/>
      <c r="B79" s="1" t="s">
        <v>85</v>
      </c>
      <c r="C79" s="2"/>
      <c r="D79" s="1"/>
      <c r="E79" s="2">
        <v>30</v>
      </c>
    </row>
    <row r="80" spans="1:5" x14ac:dyDescent="0.3">
      <c r="A80" s="1"/>
      <c r="B80" s="1" t="s">
        <v>86</v>
      </c>
      <c r="C80" s="2">
        <v>100</v>
      </c>
      <c r="D80" s="1"/>
      <c r="E80" s="2"/>
    </row>
    <row r="81" spans="1:5" x14ac:dyDescent="0.3">
      <c r="A81" s="1"/>
      <c r="B81" s="1" t="s">
        <v>87</v>
      </c>
      <c r="C81" s="2">
        <v>0</v>
      </c>
      <c r="D81" s="1"/>
      <c r="E81" s="2"/>
    </row>
    <row r="82" spans="1:5" x14ac:dyDescent="0.3">
      <c r="A82" s="1"/>
      <c r="B82" s="1" t="s">
        <v>355</v>
      </c>
      <c r="C82" s="2">
        <v>0</v>
      </c>
      <c r="D82" s="1"/>
      <c r="E82" s="2"/>
    </row>
    <row r="83" spans="1:5" x14ac:dyDescent="0.3">
      <c r="A83" s="1"/>
      <c r="B83" s="1" t="s">
        <v>354</v>
      </c>
      <c r="C83" s="2">
        <v>0</v>
      </c>
      <c r="D83" s="1"/>
      <c r="E83" s="2"/>
    </row>
    <row r="84" spans="1:5" x14ac:dyDescent="0.3">
      <c r="A84" s="1"/>
      <c r="B84" s="1" t="s">
        <v>353</v>
      </c>
      <c r="C84" s="2">
        <v>0</v>
      </c>
      <c r="D84" s="1"/>
      <c r="E84" s="2"/>
    </row>
    <row r="85" spans="1:5" x14ac:dyDescent="0.3">
      <c r="A85" s="1"/>
      <c r="B85" s="1" t="s">
        <v>352</v>
      </c>
      <c r="C85" s="2">
        <v>0</v>
      </c>
      <c r="D85" s="1"/>
      <c r="E85" s="2"/>
    </row>
    <row r="86" spans="1:5" x14ac:dyDescent="0.3">
      <c r="A86" s="1"/>
      <c r="B86" s="1" t="s">
        <v>88</v>
      </c>
      <c r="C86" s="2"/>
      <c r="D86" s="1"/>
      <c r="E86" s="2">
        <v>1437.98</v>
      </c>
    </row>
    <row r="87" spans="1:5" x14ac:dyDescent="0.3">
      <c r="A87" s="1"/>
      <c r="B87" s="1" t="s">
        <v>89</v>
      </c>
      <c r="C87" s="2">
        <v>0</v>
      </c>
      <c r="D87" s="1"/>
      <c r="E87" s="2"/>
    </row>
    <row r="88" spans="1:5" x14ac:dyDescent="0.3">
      <c r="A88" s="1"/>
      <c r="B88" s="1" t="s">
        <v>351</v>
      </c>
      <c r="C88" s="2">
        <v>0</v>
      </c>
      <c r="D88" s="1"/>
      <c r="E88" s="2"/>
    </row>
    <row r="89" spans="1:5" x14ac:dyDescent="0.3">
      <c r="A89" s="1"/>
      <c r="B89" s="1" t="s">
        <v>90</v>
      </c>
      <c r="C89" s="2">
        <v>11386.44</v>
      </c>
      <c r="D89" s="1"/>
      <c r="E89" s="2"/>
    </row>
    <row r="90" spans="1:5" x14ac:dyDescent="0.3">
      <c r="A90" s="1"/>
      <c r="B90" s="1" t="s">
        <v>350</v>
      </c>
      <c r="C90" s="2">
        <v>0</v>
      </c>
      <c r="D90" s="1"/>
      <c r="E90" s="2"/>
    </row>
    <row r="91" spans="1:5" x14ac:dyDescent="0.3">
      <c r="A91" s="1"/>
      <c r="B91" s="1" t="s">
        <v>93</v>
      </c>
      <c r="C91" s="2"/>
      <c r="D91" s="1"/>
      <c r="E91" s="2">
        <v>30391.27</v>
      </c>
    </row>
    <row r="92" spans="1:5" x14ac:dyDescent="0.3">
      <c r="A92" s="1"/>
      <c r="B92" s="1" t="s">
        <v>349</v>
      </c>
      <c r="C92" s="2">
        <v>0</v>
      </c>
      <c r="D92" s="1"/>
      <c r="E92" s="2"/>
    </row>
    <row r="93" spans="1:5" x14ac:dyDescent="0.3">
      <c r="A93" s="1"/>
      <c r="B93" s="1" t="s">
        <v>348</v>
      </c>
      <c r="C93" s="2">
        <v>0</v>
      </c>
      <c r="D93" s="1"/>
      <c r="E93" s="2"/>
    </row>
    <row r="94" spans="1:5" x14ac:dyDescent="0.3">
      <c r="A94" s="1"/>
      <c r="B94" s="1" t="s">
        <v>347</v>
      </c>
      <c r="C94" s="2">
        <v>0</v>
      </c>
      <c r="D94" s="1"/>
      <c r="E94" s="2"/>
    </row>
    <row r="95" spans="1:5" x14ac:dyDescent="0.3">
      <c r="A95" s="1"/>
      <c r="B95" s="1" t="s">
        <v>346</v>
      </c>
      <c r="C95" s="2">
        <v>0</v>
      </c>
      <c r="D95" s="1"/>
      <c r="E95" s="2"/>
    </row>
    <row r="96" spans="1:5" x14ac:dyDescent="0.3">
      <c r="A96" s="1"/>
      <c r="B96" s="1" t="s">
        <v>345</v>
      </c>
      <c r="C96" s="2">
        <v>0</v>
      </c>
      <c r="D96" s="1"/>
      <c r="E96" s="2"/>
    </row>
    <row r="97" spans="1:5" x14ac:dyDescent="0.3">
      <c r="A97" s="1"/>
      <c r="B97" s="1" t="s">
        <v>344</v>
      </c>
      <c r="C97" s="2">
        <v>0</v>
      </c>
      <c r="D97" s="1"/>
      <c r="E97" s="2"/>
    </row>
    <row r="98" spans="1:5" x14ac:dyDescent="0.3">
      <c r="A98" s="1"/>
      <c r="B98" s="1" t="s">
        <v>343</v>
      </c>
      <c r="C98" s="2">
        <v>0</v>
      </c>
      <c r="D98" s="1"/>
      <c r="E98" s="2"/>
    </row>
    <row r="99" spans="1:5" x14ac:dyDescent="0.3">
      <c r="A99" s="1"/>
      <c r="B99" s="1" t="s">
        <v>98</v>
      </c>
      <c r="C99" s="2"/>
      <c r="D99" s="1"/>
      <c r="E99" s="2">
        <v>10408.73</v>
      </c>
    </row>
    <row r="100" spans="1:5" x14ac:dyDescent="0.3">
      <c r="A100" s="1"/>
      <c r="B100" s="1" t="s">
        <v>342</v>
      </c>
      <c r="C100" s="2">
        <v>0</v>
      </c>
      <c r="D100" s="1"/>
      <c r="E100" s="2"/>
    </row>
    <row r="101" spans="1:5" x14ac:dyDescent="0.3">
      <c r="A101" s="1"/>
      <c r="B101" s="1" t="s">
        <v>126</v>
      </c>
      <c r="C101" s="2">
        <v>10945.43</v>
      </c>
      <c r="D101" s="1"/>
      <c r="E101" s="2"/>
    </row>
    <row r="102" spans="1:5" x14ac:dyDescent="0.3">
      <c r="A102" s="1"/>
      <c r="B102" s="1" t="s">
        <v>341</v>
      </c>
      <c r="C102" s="2">
        <v>0</v>
      </c>
      <c r="D102" s="1"/>
      <c r="E102" s="2"/>
    </row>
    <row r="103" spans="1:5" x14ac:dyDescent="0.3">
      <c r="A103" s="1"/>
      <c r="B103" s="1" t="s">
        <v>99</v>
      </c>
      <c r="C103" s="2"/>
      <c r="D103" s="1"/>
      <c r="E103" s="2">
        <v>3432.32</v>
      </c>
    </row>
    <row r="104" spans="1:5" x14ac:dyDescent="0.3">
      <c r="A104" s="1"/>
      <c r="B104" s="1" t="s">
        <v>340</v>
      </c>
      <c r="C104" s="2">
        <v>0</v>
      </c>
      <c r="D104" s="1"/>
      <c r="E104" s="2"/>
    </row>
    <row r="105" spans="1:5" x14ac:dyDescent="0.3">
      <c r="A105" s="1"/>
      <c r="B105" s="1" t="s">
        <v>339</v>
      </c>
      <c r="C105" s="2">
        <v>0</v>
      </c>
      <c r="D105" s="1"/>
      <c r="E105" s="2"/>
    </row>
    <row r="106" spans="1:5" x14ac:dyDescent="0.3">
      <c r="A106" s="1"/>
      <c r="B106" s="1" t="s">
        <v>338</v>
      </c>
      <c r="C106" s="2">
        <v>0</v>
      </c>
      <c r="D106" s="1"/>
      <c r="E106" s="2"/>
    </row>
    <row r="107" spans="1:5" x14ac:dyDescent="0.3">
      <c r="A107" s="1"/>
      <c r="B107" s="1" t="s">
        <v>337</v>
      </c>
      <c r="C107" s="2">
        <v>0</v>
      </c>
      <c r="D107" s="1"/>
      <c r="E107" s="2"/>
    </row>
    <row r="108" spans="1:5" x14ac:dyDescent="0.3">
      <c r="A108" s="1"/>
      <c r="B108" s="1" t="s">
        <v>336</v>
      </c>
      <c r="C108" s="2">
        <v>0</v>
      </c>
      <c r="D108" s="1"/>
      <c r="E108" s="2"/>
    </row>
    <row r="109" spans="1:5" x14ac:dyDescent="0.3">
      <c r="A109" s="1"/>
      <c r="B109" s="1" t="s">
        <v>335</v>
      </c>
      <c r="C109" s="2">
        <v>0</v>
      </c>
      <c r="D109" s="1"/>
      <c r="E109" s="2"/>
    </row>
    <row r="110" spans="1:5" x14ac:dyDescent="0.3">
      <c r="A110" s="1"/>
      <c r="B110" s="1" t="s">
        <v>334</v>
      </c>
      <c r="C110" s="2">
        <v>0</v>
      </c>
      <c r="D110" s="1"/>
      <c r="E110" s="2"/>
    </row>
    <row r="111" spans="1:5" x14ac:dyDescent="0.3">
      <c r="A111" s="1"/>
      <c r="B111" s="1" t="s">
        <v>333</v>
      </c>
      <c r="C111" s="2">
        <v>0</v>
      </c>
      <c r="D111" s="1"/>
      <c r="E111" s="2"/>
    </row>
    <row r="112" spans="1:5" x14ac:dyDescent="0.3">
      <c r="A112" s="1"/>
      <c r="B112" s="1" t="s">
        <v>332</v>
      </c>
      <c r="C112" s="2">
        <v>0</v>
      </c>
      <c r="D112" s="1"/>
      <c r="E112" s="2"/>
    </row>
    <row r="113" spans="1:5" x14ac:dyDescent="0.3">
      <c r="A113" s="1"/>
      <c r="B113" s="1" t="s">
        <v>331</v>
      </c>
      <c r="C113" s="2">
        <v>0</v>
      </c>
      <c r="D113" s="1"/>
      <c r="E113" s="2"/>
    </row>
    <row r="114" spans="1:5" x14ac:dyDescent="0.3">
      <c r="A114" s="1"/>
      <c r="B114" s="1" t="s">
        <v>330</v>
      </c>
      <c r="C114" s="2">
        <v>0</v>
      </c>
      <c r="D114" s="1"/>
      <c r="E114" s="2"/>
    </row>
    <row r="115" spans="1:5" x14ac:dyDescent="0.3">
      <c r="A115" s="1"/>
      <c r="B115" s="1" t="s">
        <v>329</v>
      </c>
      <c r="C115" s="2">
        <v>0</v>
      </c>
      <c r="D115" s="1"/>
      <c r="E115" s="2"/>
    </row>
    <row r="116" spans="1:5" x14ac:dyDescent="0.3">
      <c r="A116" s="1"/>
      <c r="B116" s="1" t="s">
        <v>106</v>
      </c>
      <c r="C116" s="2"/>
      <c r="D116" s="1"/>
      <c r="E116" s="2">
        <v>500000</v>
      </c>
    </row>
    <row r="117" spans="1:5" x14ac:dyDescent="0.3">
      <c r="A117" s="1"/>
      <c r="B117" s="1" t="s">
        <v>328</v>
      </c>
      <c r="C117" s="2">
        <v>0</v>
      </c>
      <c r="D117" s="1"/>
      <c r="E117" s="2"/>
    </row>
    <row r="118" spans="1:5" x14ac:dyDescent="0.3">
      <c r="A118" s="1"/>
      <c r="B118" s="1" t="s">
        <v>327</v>
      </c>
      <c r="C118" s="2">
        <v>0</v>
      </c>
      <c r="D118" s="1"/>
      <c r="E118" s="2"/>
    </row>
    <row r="119" spans="1:5" x14ac:dyDescent="0.3">
      <c r="A119" s="1"/>
      <c r="B119" s="1" t="s">
        <v>326</v>
      </c>
      <c r="C119" s="2">
        <v>0</v>
      </c>
      <c r="D119" s="1"/>
      <c r="E119" s="2"/>
    </row>
    <row r="120" spans="1:5" x14ac:dyDescent="0.3">
      <c r="A120" s="1"/>
      <c r="B120" s="1" t="s">
        <v>107</v>
      </c>
      <c r="C120" s="2"/>
      <c r="D120" s="1"/>
      <c r="E120" s="2">
        <v>402223.01</v>
      </c>
    </row>
    <row r="121" spans="1:5" x14ac:dyDescent="0.3">
      <c r="A121" s="1"/>
      <c r="B121" s="1" t="s">
        <v>325</v>
      </c>
      <c r="C121" s="2">
        <v>0</v>
      </c>
      <c r="D121" s="1"/>
      <c r="E121" s="2"/>
    </row>
    <row r="122" spans="1:5" x14ac:dyDescent="0.3">
      <c r="A122" s="1"/>
      <c r="B122" s="1" t="s">
        <v>324</v>
      </c>
      <c r="C122" s="2">
        <v>0</v>
      </c>
      <c r="D122" s="1"/>
      <c r="E122" s="2"/>
    </row>
    <row r="123" spans="1:5" x14ac:dyDescent="0.3">
      <c r="A123" s="1"/>
      <c r="B123" s="1" t="s">
        <v>323</v>
      </c>
      <c r="C123" s="2">
        <v>0</v>
      </c>
      <c r="D123" s="1"/>
      <c r="E123" s="2"/>
    </row>
    <row r="124" spans="1:5" x14ac:dyDescent="0.3">
      <c r="A124" s="1"/>
      <c r="B124" s="1" t="s">
        <v>322</v>
      </c>
      <c r="C124" s="2">
        <v>0</v>
      </c>
      <c r="D124" s="1"/>
      <c r="E124" s="2"/>
    </row>
    <row r="125" spans="1:5" x14ac:dyDescent="0.3">
      <c r="A125" s="1"/>
      <c r="B125" s="1" t="s">
        <v>321</v>
      </c>
      <c r="C125" s="2">
        <v>0</v>
      </c>
      <c r="D125" s="1"/>
      <c r="E125" s="2"/>
    </row>
    <row r="126" spans="1:5" x14ac:dyDescent="0.3">
      <c r="A126" s="1"/>
      <c r="B126" s="1" t="s">
        <v>320</v>
      </c>
      <c r="C126" s="2">
        <v>0</v>
      </c>
      <c r="D126" s="1"/>
      <c r="E126" s="2"/>
    </row>
    <row r="127" spans="1:5" x14ac:dyDescent="0.3">
      <c r="A127" s="1"/>
      <c r="B127" s="1" t="s">
        <v>114</v>
      </c>
      <c r="C127" s="2"/>
      <c r="D127" s="1"/>
      <c r="E127" s="2">
        <v>490245.1</v>
      </c>
    </row>
    <row r="128" spans="1:5" x14ac:dyDescent="0.3">
      <c r="A128" s="1"/>
      <c r="B128" s="1" t="s">
        <v>115</v>
      </c>
      <c r="C128" s="2"/>
      <c r="D128" s="1"/>
      <c r="E128" s="2">
        <v>495276.57</v>
      </c>
    </row>
    <row r="129" spans="1:5" x14ac:dyDescent="0.3">
      <c r="A129" s="1"/>
      <c r="B129" s="1" t="s">
        <v>116</v>
      </c>
      <c r="C129" s="2">
        <v>91868.7</v>
      </c>
      <c r="D129" s="1"/>
      <c r="E129" s="2"/>
    </row>
    <row r="130" spans="1:5" x14ac:dyDescent="0.3">
      <c r="A130" s="1"/>
      <c r="B130" s="1" t="s">
        <v>117</v>
      </c>
      <c r="C130" s="2">
        <v>45335.57</v>
      </c>
      <c r="D130" s="1"/>
      <c r="E130" s="2"/>
    </row>
    <row r="131" spans="1:5" x14ac:dyDescent="0.3">
      <c r="A131" s="1"/>
      <c r="B131" s="1" t="s">
        <v>119</v>
      </c>
      <c r="C131" s="2"/>
      <c r="D131" s="1"/>
      <c r="E131" s="2">
        <v>227895.48</v>
      </c>
    </row>
    <row r="132" spans="1:5" x14ac:dyDescent="0.3">
      <c r="A132" s="1"/>
      <c r="B132" s="1" t="s">
        <v>319</v>
      </c>
      <c r="C132" s="2">
        <v>0</v>
      </c>
      <c r="D132" s="1"/>
      <c r="E132" s="2"/>
    </row>
    <row r="133" spans="1:5" x14ac:dyDescent="0.3">
      <c r="A133" s="1"/>
      <c r="B133" s="1" t="s">
        <v>318</v>
      </c>
      <c r="C133" s="2">
        <v>0</v>
      </c>
      <c r="D133" s="1"/>
      <c r="E133" s="2"/>
    </row>
    <row r="134" spans="1:5" x14ac:dyDescent="0.3">
      <c r="A134" s="1"/>
      <c r="B134" s="1" t="s">
        <v>120</v>
      </c>
      <c r="C134" s="2">
        <v>227895.48</v>
      </c>
      <c r="D134" s="1"/>
      <c r="E134" s="2"/>
    </row>
    <row r="135" spans="1:5" x14ac:dyDescent="0.3">
      <c r="A135" s="1"/>
      <c r="B135" s="1" t="s">
        <v>299</v>
      </c>
      <c r="C135" s="2"/>
      <c r="D135" s="1"/>
      <c r="E135" s="2">
        <v>3497.5</v>
      </c>
    </row>
    <row r="136" spans="1:5" x14ac:dyDescent="0.3">
      <c r="A136" s="1"/>
      <c r="B136" s="1" t="s">
        <v>298</v>
      </c>
      <c r="C136" s="2"/>
      <c r="D136" s="1"/>
      <c r="E136" s="2">
        <v>26829.7</v>
      </c>
    </row>
    <row r="137" spans="1:5" x14ac:dyDescent="0.3">
      <c r="A137" s="1"/>
      <c r="B137" s="1" t="s">
        <v>297</v>
      </c>
      <c r="C137" s="2"/>
      <c r="D137" s="1"/>
      <c r="E137" s="2">
        <v>16472.96</v>
      </c>
    </row>
    <row r="138" spans="1:5" x14ac:dyDescent="0.3">
      <c r="A138" s="1"/>
      <c r="B138" s="1" t="s">
        <v>296</v>
      </c>
      <c r="C138" s="2"/>
      <c r="D138" s="1"/>
      <c r="E138" s="2">
        <v>346852</v>
      </c>
    </row>
    <row r="139" spans="1:5" x14ac:dyDescent="0.3">
      <c r="A139" s="1"/>
      <c r="B139" s="1" t="s">
        <v>295</v>
      </c>
      <c r="C139" s="2"/>
      <c r="D139" s="1"/>
      <c r="E139" s="2">
        <v>2745200.46</v>
      </c>
    </row>
    <row r="140" spans="1:5" x14ac:dyDescent="0.3">
      <c r="A140" s="1"/>
      <c r="B140" s="1" t="s">
        <v>294</v>
      </c>
      <c r="C140" s="2"/>
      <c r="D140" s="1"/>
      <c r="E140" s="2">
        <v>35869.519999999997</v>
      </c>
    </row>
    <row r="141" spans="1:5" x14ac:dyDescent="0.3">
      <c r="A141" s="1"/>
      <c r="B141" s="1" t="s">
        <v>293</v>
      </c>
      <c r="C141" s="2"/>
      <c r="D141" s="1"/>
      <c r="E141" s="2">
        <v>932295.78</v>
      </c>
    </row>
    <row r="142" spans="1:5" x14ac:dyDescent="0.3">
      <c r="A142" s="1"/>
      <c r="B142" s="1" t="s">
        <v>292</v>
      </c>
      <c r="C142" s="2"/>
      <c r="D142" s="1"/>
      <c r="E142" s="2">
        <v>1155658.51</v>
      </c>
    </row>
    <row r="143" spans="1:5" x14ac:dyDescent="0.3">
      <c r="A143" s="1"/>
      <c r="B143" s="1" t="s">
        <v>291</v>
      </c>
      <c r="C143" s="2"/>
      <c r="D143" s="1"/>
      <c r="E143" s="2">
        <v>570</v>
      </c>
    </row>
    <row r="144" spans="1:5" x14ac:dyDescent="0.3">
      <c r="A144" s="1"/>
      <c r="B144" s="1" t="s">
        <v>290</v>
      </c>
      <c r="C144" s="2">
        <v>31853.96</v>
      </c>
      <c r="D144" s="1"/>
      <c r="E144" s="2"/>
    </row>
    <row r="145" spans="1:5" x14ac:dyDescent="0.3">
      <c r="A145" s="1"/>
      <c r="B145" s="1" t="s">
        <v>286</v>
      </c>
      <c r="C145" s="2"/>
      <c r="D145" s="1"/>
      <c r="E145" s="2">
        <v>1167016.3700000001</v>
      </c>
    </row>
    <row r="146" spans="1:5" x14ac:dyDescent="0.3">
      <c r="A146" s="1"/>
      <c r="B146" s="1" t="s">
        <v>285</v>
      </c>
      <c r="C146" s="2"/>
      <c r="D146" s="1"/>
      <c r="E146" s="2">
        <v>155533.43</v>
      </c>
    </row>
    <row r="147" spans="1:5" x14ac:dyDescent="0.3">
      <c r="A147" s="1"/>
      <c r="B147" s="1" t="s">
        <v>278</v>
      </c>
      <c r="C147" s="2">
        <v>0</v>
      </c>
      <c r="D147" s="1"/>
      <c r="E147" s="2"/>
    </row>
    <row r="148" spans="1:5" x14ac:dyDescent="0.3">
      <c r="A148" s="1"/>
      <c r="B148" s="1" t="s">
        <v>277</v>
      </c>
      <c r="C148" s="2">
        <v>115953.81</v>
      </c>
      <c r="D148" s="1"/>
      <c r="E148" s="2"/>
    </row>
    <row r="149" spans="1:5" x14ac:dyDescent="0.3">
      <c r="A149" s="1"/>
      <c r="B149" s="1" t="s">
        <v>276</v>
      </c>
      <c r="C149" s="2">
        <v>22070.1</v>
      </c>
      <c r="D149" s="1"/>
      <c r="E149" s="2"/>
    </row>
    <row r="150" spans="1:5" x14ac:dyDescent="0.3">
      <c r="A150" s="1"/>
      <c r="B150" s="1" t="s">
        <v>275</v>
      </c>
      <c r="C150" s="2">
        <v>91276.61</v>
      </c>
      <c r="D150" s="1"/>
      <c r="E150" s="2"/>
    </row>
    <row r="151" spans="1:5" x14ac:dyDescent="0.3">
      <c r="A151" s="1"/>
      <c r="B151" s="1" t="s">
        <v>274</v>
      </c>
      <c r="C151" s="2">
        <v>137507.24</v>
      </c>
      <c r="D151" s="1"/>
      <c r="E151" s="2"/>
    </row>
    <row r="152" spans="1:5" x14ac:dyDescent="0.3">
      <c r="A152" s="1"/>
      <c r="B152" s="1" t="s">
        <v>273</v>
      </c>
      <c r="C152" s="2">
        <v>948648.86</v>
      </c>
      <c r="D152" s="1"/>
      <c r="E152" s="2"/>
    </row>
    <row r="153" spans="1:5" x14ac:dyDescent="0.3">
      <c r="A153" s="1"/>
      <c r="B153" s="1" t="s">
        <v>272</v>
      </c>
      <c r="C153" s="2">
        <v>9409.39</v>
      </c>
      <c r="D153" s="1"/>
      <c r="E153" s="2"/>
    </row>
    <row r="154" spans="1:5" x14ac:dyDescent="0.3">
      <c r="A154" s="1"/>
      <c r="B154" s="1" t="s">
        <v>271</v>
      </c>
      <c r="C154" s="2">
        <v>21459.62</v>
      </c>
      <c r="D154" s="1"/>
      <c r="E154" s="2"/>
    </row>
    <row r="155" spans="1:5" x14ac:dyDescent="0.3">
      <c r="A155" s="1"/>
      <c r="B155" s="1" t="s">
        <v>268</v>
      </c>
      <c r="C155" s="2">
        <v>0</v>
      </c>
      <c r="D155" s="1"/>
      <c r="E155" s="2"/>
    </row>
    <row r="156" spans="1:5" x14ac:dyDescent="0.3">
      <c r="A156" s="1"/>
      <c r="B156" s="1" t="s">
        <v>267</v>
      </c>
      <c r="C156" s="2">
        <v>277980.78999999998</v>
      </c>
      <c r="D156" s="1"/>
      <c r="E156" s="2"/>
    </row>
    <row r="157" spans="1:5" x14ac:dyDescent="0.3">
      <c r="A157" s="1"/>
      <c r="B157" s="1" t="s">
        <v>266</v>
      </c>
      <c r="C157" s="2">
        <v>11893.15</v>
      </c>
      <c r="D157" s="1"/>
      <c r="E157" s="2"/>
    </row>
    <row r="158" spans="1:5" x14ac:dyDescent="0.3">
      <c r="A158" s="1"/>
      <c r="B158" s="1" t="s">
        <v>313</v>
      </c>
      <c r="C158" s="2">
        <v>2081.5700000000002</v>
      </c>
      <c r="D158" s="1"/>
      <c r="E158" s="2"/>
    </row>
    <row r="159" spans="1:5" x14ac:dyDescent="0.3">
      <c r="A159" s="1"/>
      <c r="B159" s="1" t="s">
        <v>312</v>
      </c>
      <c r="C159" s="2">
        <v>0</v>
      </c>
      <c r="D159" s="1"/>
      <c r="E159" s="2"/>
    </row>
    <row r="160" spans="1:5" x14ac:dyDescent="0.3">
      <c r="A160" s="1"/>
      <c r="B160" s="1" t="s">
        <v>265</v>
      </c>
      <c r="C160" s="2">
        <v>38501.47</v>
      </c>
      <c r="D160" s="1"/>
      <c r="E160" s="2"/>
    </row>
    <row r="161" spans="1:5" x14ac:dyDescent="0.3">
      <c r="A161" s="1"/>
      <c r="B161" s="1" t="s">
        <v>264</v>
      </c>
      <c r="C161" s="2">
        <v>138328.46</v>
      </c>
      <c r="D161" s="1"/>
      <c r="E161" s="2"/>
    </row>
    <row r="162" spans="1:5" x14ac:dyDescent="0.3">
      <c r="A162" s="1"/>
      <c r="B162" s="1" t="s">
        <v>263</v>
      </c>
      <c r="C162" s="2">
        <v>150536.51999999999</v>
      </c>
      <c r="D162" s="1"/>
      <c r="E162" s="2"/>
    </row>
    <row r="163" spans="1:5" x14ac:dyDescent="0.3">
      <c r="A163" s="1"/>
      <c r="B163" s="1" t="s">
        <v>262</v>
      </c>
      <c r="C163" s="2">
        <v>165</v>
      </c>
      <c r="D163" s="1"/>
      <c r="E163" s="2"/>
    </row>
    <row r="164" spans="1:5" x14ac:dyDescent="0.3">
      <c r="A164" s="1"/>
      <c r="B164" s="1" t="s">
        <v>261</v>
      </c>
      <c r="C164" s="2">
        <v>73905.31</v>
      </c>
      <c r="D164" s="1"/>
      <c r="E164" s="2"/>
    </row>
    <row r="165" spans="1:5" x14ac:dyDescent="0.3">
      <c r="A165" s="1"/>
      <c r="B165" s="1" t="s">
        <v>258</v>
      </c>
      <c r="C165" s="2">
        <v>57766.14</v>
      </c>
      <c r="D165" s="1"/>
      <c r="E165" s="2"/>
    </row>
    <row r="166" spans="1:5" x14ac:dyDescent="0.3">
      <c r="A166" s="1"/>
      <c r="B166" s="1" t="s">
        <v>257</v>
      </c>
      <c r="C166" s="2">
        <v>1149957.92</v>
      </c>
      <c r="D166" s="1"/>
      <c r="E166" s="2"/>
    </row>
    <row r="167" spans="1:5" x14ac:dyDescent="0.3">
      <c r="A167" s="1"/>
      <c r="B167" s="1" t="s">
        <v>256</v>
      </c>
      <c r="C167" s="2">
        <v>28871.91</v>
      </c>
      <c r="D167" s="1"/>
      <c r="E167" s="2"/>
    </row>
    <row r="168" spans="1:5" x14ac:dyDescent="0.3">
      <c r="A168" s="1"/>
      <c r="B168" s="1" t="s">
        <v>311</v>
      </c>
      <c r="C168" s="2">
        <v>952</v>
      </c>
      <c r="D168" s="1"/>
      <c r="E168" s="2"/>
    </row>
    <row r="169" spans="1:5" x14ac:dyDescent="0.3">
      <c r="A169" s="1"/>
      <c r="B169" s="1" t="s">
        <v>310</v>
      </c>
      <c r="C169" s="2">
        <v>3805.74</v>
      </c>
      <c r="D169" s="1"/>
      <c r="E169" s="2"/>
    </row>
    <row r="170" spans="1:5" x14ac:dyDescent="0.3">
      <c r="A170" s="1"/>
      <c r="B170" s="1" t="s">
        <v>249</v>
      </c>
      <c r="C170" s="2">
        <v>542.11</v>
      </c>
      <c r="D170" s="1"/>
      <c r="E170" s="2"/>
    </row>
    <row r="171" spans="1:5" x14ac:dyDescent="0.3">
      <c r="A171" s="1"/>
      <c r="B171" s="1" t="s">
        <v>248</v>
      </c>
      <c r="C171" s="2">
        <v>11849.4</v>
      </c>
      <c r="D171" s="1"/>
      <c r="E171" s="2"/>
    </row>
    <row r="172" spans="1:5" x14ac:dyDescent="0.3">
      <c r="A172" s="1"/>
      <c r="B172" s="1" t="s">
        <v>247</v>
      </c>
      <c r="C172" s="2">
        <v>1013.15</v>
      </c>
      <c r="D172" s="1"/>
      <c r="E172" s="2"/>
    </row>
    <row r="173" spans="1:5" x14ac:dyDescent="0.3">
      <c r="A173" s="1"/>
      <c r="B173" s="1" t="s">
        <v>246</v>
      </c>
      <c r="C173" s="2">
        <v>6171.49</v>
      </c>
      <c r="D173" s="1"/>
      <c r="E173" s="2"/>
    </row>
    <row r="174" spans="1:5" x14ac:dyDescent="0.3">
      <c r="A174" s="1"/>
      <c r="B174" s="1" t="s">
        <v>245</v>
      </c>
      <c r="C174" s="2">
        <v>30324.52</v>
      </c>
      <c r="D174" s="1"/>
      <c r="E174" s="2"/>
    </row>
    <row r="175" spans="1:5" x14ac:dyDescent="0.3">
      <c r="A175" s="1"/>
      <c r="B175" s="1" t="s">
        <v>244</v>
      </c>
      <c r="C175" s="2">
        <v>13583.19</v>
      </c>
      <c r="D175" s="1"/>
      <c r="E175" s="2"/>
    </row>
    <row r="176" spans="1:5" x14ac:dyDescent="0.3">
      <c r="A176" s="1"/>
      <c r="B176" s="1" t="s">
        <v>241</v>
      </c>
      <c r="C176" s="2">
        <v>42317.03</v>
      </c>
      <c r="D176" s="1"/>
      <c r="E176" s="2"/>
    </row>
    <row r="177" spans="1:5" x14ac:dyDescent="0.3">
      <c r="A177" s="1"/>
      <c r="B177" s="1" t="s">
        <v>240</v>
      </c>
      <c r="C177" s="2">
        <v>56310.62</v>
      </c>
      <c r="D177" s="1"/>
      <c r="E177" s="2"/>
    </row>
    <row r="178" spans="1:5" x14ac:dyDescent="0.3">
      <c r="A178" s="1"/>
      <c r="B178" s="1" t="s">
        <v>239</v>
      </c>
      <c r="C178" s="2">
        <v>50024.78</v>
      </c>
      <c r="D178" s="1"/>
      <c r="E178" s="2"/>
    </row>
    <row r="179" spans="1:5" x14ac:dyDescent="0.3">
      <c r="A179" s="1"/>
      <c r="B179" s="1" t="s">
        <v>238</v>
      </c>
      <c r="C179" s="2">
        <v>35373.93</v>
      </c>
      <c r="D179" s="1"/>
      <c r="E179" s="2"/>
    </row>
    <row r="180" spans="1:5" x14ac:dyDescent="0.3">
      <c r="A180" s="1"/>
      <c r="B180" s="1" t="s">
        <v>236</v>
      </c>
      <c r="C180" s="2">
        <v>12129.32</v>
      </c>
      <c r="D180" s="1"/>
      <c r="E180" s="2"/>
    </row>
    <row r="181" spans="1:5" x14ac:dyDescent="0.3">
      <c r="A181" s="1"/>
      <c r="B181" s="1" t="s">
        <v>235</v>
      </c>
      <c r="C181" s="2">
        <v>8518.5400000000009</v>
      </c>
      <c r="D181" s="1"/>
      <c r="E181" s="2"/>
    </row>
    <row r="182" spans="1:5" x14ac:dyDescent="0.3">
      <c r="A182" s="1"/>
      <c r="B182" s="1" t="s">
        <v>234</v>
      </c>
      <c r="C182" s="2">
        <v>8831.92</v>
      </c>
      <c r="D182" s="1"/>
      <c r="E182" s="2"/>
    </row>
    <row r="183" spans="1:5" x14ac:dyDescent="0.3">
      <c r="A183" s="1"/>
      <c r="B183" s="1" t="s">
        <v>233</v>
      </c>
      <c r="C183" s="2">
        <v>11451.87</v>
      </c>
      <c r="D183" s="1"/>
      <c r="E183" s="2"/>
    </row>
    <row r="184" spans="1:5" x14ac:dyDescent="0.3">
      <c r="A184" s="1"/>
      <c r="B184" s="1" t="s">
        <v>232</v>
      </c>
      <c r="C184" s="2">
        <v>9111.57</v>
      </c>
      <c r="D184" s="1"/>
      <c r="E184" s="2"/>
    </row>
    <row r="185" spans="1:5" x14ac:dyDescent="0.3">
      <c r="A185" s="1"/>
      <c r="B185" s="1" t="s">
        <v>226</v>
      </c>
      <c r="C185" s="2">
        <v>20678.37</v>
      </c>
      <c r="D185" s="1"/>
      <c r="E185" s="2"/>
    </row>
    <row r="186" spans="1:5" x14ac:dyDescent="0.3">
      <c r="A186" s="1"/>
      <c r="B186" s="1" t="s">
        <v>225</v>
      </c>
      <c r="C186" s="2">
        <v>81196.78</v>
      </c>
      <c r="D186" s="1"/>
      <c r="E186" s="2"/>
    </row>
    <row r="187" spans="1:5" x14ac:dyDescent="0.3">
      <c r="A187" s="1"/>
      <c r="B187" s="1" t="s">
        <v>224</v>
      </c>
      <c r="C187" s="2">
        <v>7450.64</v>
      </c>
      <c r="D187" s="1"/>
      <c r="E187" s="2"/>
    </row>
    <row r="188" spans="1:5" x14ac:dyDescent="0.3">
      <c r="A188" s="1"/>
      <c r="B188" s="1" t="s">
        <v>223</v>
      </c>
      <c r="C188" s="2">
        <v>15548.62</v>
      </c>
      <c r="D188" s="1"/>
      <c r="E188" s="2"/>
    </row>
    <row r="189" spans="1:5" x14ac:dyDescent="0.3">
      <c r="A189" s="1"/>
      <c r="B189" s="1" t="s">
        <v>222</v>
      </c>
      <c r="C189" s="2">
        <v>40117.26</v>
      </c>
      <c r="D189" s="1"/>
      <c r="E189" s="2"/>
    </row>
    <row r="190" spans="1:5" x14ac:dyDescent="0.3">
      <c r="A190" s="1"/>
      <c r="B190" s="1" t="s">
        <v>221</v>
      </c>
      <c r="C190" s="2">
        <v>4418.16</v>
      </c>
      <c r="D190" s="1"/>
      <c r="E190" s="2"/>
    </row>
    <row r="191" spans="1:5" x14ac:dyDescent="0.3">
      <c r="A191" s="1"/>
      <c r="B191" s="1" t="s">
        <v>220</v>
      </c>
      <c r="C191" s="2">
        <v>23978.47</v>
      </c>
      <c r="D191" s="1"/>
      <c r="E191" s="2"/>
    </row>
    <row r="192" spans="1:5" x14ac:dyDescent="0.3">
      <c r="A192" s="1"/>
      <c r="B192" s="1" t="s">
        <v>219</v>
      </c>
      <c r="C192" s="2">
        <v>35270.410000000003</v>
      </c>
      <c r="D192" s="1"/>
      <c r="E192" s="2"/>
    </row>
    <row r="193" spans="1:5" x14ac:dyDescent="0.3">
      <c r="A193" s="1"/>
      <c r="B193" s="1" t="s">
        <v>218</v>
      </c>
      <c r="C193" s="2">
        <v>2900.73</v>
      </c>
      <c r="D193" s="1"/>
      <c r="E193" s="2"/>
    </row>
    <row r="194" spans="1:5" x14ac:dyDescent="0.3">
      <c r="A194" s="1"/>
      <c r="B194" s="1" t="s">
        <v>217</v>
      </c>
      <c r="C194" s="2">
        <v>10591.19</v>
      </c>
      <c r="D194" s="1"/>
      <c r="E194" s="2"/>
    </row>
    <row r="195" spans="1:5" x14ac:dyDescent="0.3">
      <c r="A195" s="1"/>
      <c r="B195" s="1" t="s">
        <v>216</v>
      </c>
      <c r="C195" s="2">
        <v>21939.19</v>
      </c>
      <c r="D195" s="1"/>
      <c r="E195" s="2"/>
    </row>
    <row r="196" spans="1:5" x14ac:dyDescent="0.3">
      <c r="A196" s="1"/>
      <c r="B196" s="1" t="s">
        <v>213</v>
      </c>
      <c r="C196" s="2">
        <v>20250</v>
      </c>
      <c r="D196" s="1"/>
      <c r="E196" s="2"/>
    </row>
    <row r="197" spans="1:5" x14ac:dyDescent="0.3">
      <c r="A197" s="1"/>
      <c r="B197" s="1" t="s">
        <v>212</v>
      </c>
      <c r="C197" s="2">
        <v>16098.41</v>
      </c>
      <c r="D197" s="1"/>
      <c r="E197" s="2"/>
    </row>
    <row r="198" spans="1:5" x14ac:dyDescent="0.3">
      <c r="A198" s="1"/>
      <c r="B198" s="1" t="s">
        <v>211</v>
      </c>
      <c r="C198" s="2">
        <v>30500</v>
      </c>
      <c r="D198" s="1"/>
      <c r="E198" s="2"/>
    </row>
    <row r="199" spans="1:5" x14ac:dyDescent="0.3">
      <c r="A199" s="1"/>
      <c r="B199" s="1" t="s">
        <v>209</v>
      </c>
      <c r="C199" s="2">
        <v>2066.08</v>
      </c>
      <c r="D199" s="1"/>
      <c r="E199" s="2"/>
    </row>
    <row r="200" spans="1:5" x14ac:dyDescent="0.3">
      <c r="A200" s="1"/>
      <c r="B200" s="1" t="s">
        <v>208</v>
      </c>
      <c r="C200" s="2">
        <v>8850.81</v>
      </c>
      <c r="D200" s="1"/>
      <c r="E200" s="2"/>
    </row>
    <row r="201" spans="1:5" x14ac:dyDescent="0.3">
      <c r="A201" s="1"/>
      <c r="B201" s="1" t="s">
        <v>207</v>
      </c>
      <c r="C201" s="2">
        <v>117662.77</v>
      </c>
      <c r="D201" s="1"/>
      <c r="E201" s="2"/>
    </row>
    <row r="202" spans="1:5" x14ac:dyDescent="0.3">
      <c r="A202" s="1"/>
      <c r="B202" s="1" t="s">
        <v>206</v>
      </c>
      <c r="C202" s="2">
        <v>15213.77</v>
      </c>
      <c r="D202" s="1"/>
      <c r="E202" s="2"/>
    </row>
    <row r="203" spans="1:5" x14ac:dyDescent="0.3">
      <c r="A203" s="1"/>
      <c r="B203" s="1" t="s">
        <v>204</v>
      </c>
      <c r="C203" s="2">
        <v>28151.11</v>
      </c>
      <c r="D203" s="1"/>
      <c r="E203" s="2"/>
    </row>
    <row r="204" spans="1:5" x14ac:dyDescent="0.3">
      <c r="A204" s="1"/>
      <c r="B204" s="1" t="s">
        <v>203</v>
      </c>
      <c r="C204" s="2">
        <v>25727.97</v>
      </c>
      <c r="D204" s="1"/>
      <c r="E204" s="2"/>
    </row>
    <row r="205" spans="1:5" x14ac:dyDescent="0.3">
      <c r="A205" s="1"/>
      <c r="B205" s="1" t="s">
        <v>197</v>
      </c>
      <c r="C205" s="2">
        <v>161823.35999999999</v>
      </c>
      <c r="D205" s="1"/>
      <c r="E205" s="2"/>
    </row>
    <row r="206" spans="1:5" x14ac:dyDescent="0.3">
      <c r="A206" s="1"/>
      <c r="B206" s="1" t="s">
        <v>196</v>
      </c>
      <c r="C206" s="2">
        <v>238358.97</v>
      </c>
      <c r="D206" s="1"/>
      <c r="E206" s="2"/>
    </row>
    <row r="207" spans="1:5" x14ac:dyDescent="0.3">
      <c r="A207" s="1"/>
      <c r="B207" s="1" t="s">
        <v>195</v>
      </c>
      <c r="C207" s="2">
        <v>186415.46</v>
      </c>
      <c r="D207" s="1"/>
      <c r="E207" s="2"/>
    </row>
    <row r="208" spans="1:5" x14ac:dyDescent="0.3">
      <c r="A208" s="1"/>
      <c r="B208" s="1" t="s">
        <v>194</v>
      </c>
      <c r="C208" s="2">
        <v>253383.66</v>
      </c>
      <c r="D208" s="1"/>
      <c r="E208" s="2"/>
    </row>
    <row r="209" spans="1:5" x14ac:dyDescent="0.3">
      <c r="A209" s="1"/>
      <c r="B209" s="1" t="s">
        <v>193</v>
      </c>
      <c r="C209" s="2">
        <v>5820.62</v>
      </c>
      <c r="D209" s="1"/>
      <c r="E209" s="2"/>
    </row>
    <row r="210" spans="1:5" x14ac:dyDescent="0.3">
      <c r="A210" s="1"/>
      <c r="B210" s="1" t="s">
        <v>191</v>
      </c>
      <c r="C210" s="2">
        <v>68019.8</v>
      </c>
      <c r="D210" s="1"/>
      <c r="E210" s="2"/>
    </row>
    <row r="211" spans="1:5" x14ac:dyDescent="0.3">
      <c r="A211" s="1"/>
      <c r="B211" s="1" t="s">
        <v>190</v>
      </c>
      <c r="C211" s="2">
        <v>63385.98</v>
      </c>
      <c r="D211" s="1"/>
      <c r="E211" s="2"/>
    </row>
    <row r="212" spans="1:5" x14ac:dyDescent="0.3">
      <c r="A212" s="1"/>
      <c r="B212" s="1" t="s">
        <v>187</v>
      </c>
      <c r="C212" s="2">
        <v>7181</v>
      </c>
      <c r="D212" s="1"/>
      <c r="E212" s="2"/>
    </row>
    <row r="213" spans="1:5" x14ac:dyDescent="0.3">
      <c r="A213" s="1"/>
      <c r="B213" s="1" t="s">
        <v>186</v>
      </c>
      <c r="C213" s="2">
        <v>161945.93</v>
      </c>
      <c r="D213" s="1"/>
      <c r="E213" s="2"/>
    </row>
    <row r="214" spans="1:5" x14ac:dyDescent="0.3">
      <c r="A214" s="1"/>
      <c r="B214" s="1" t="s">
        <v>185</v>
      </c>
      <c r="C214" s="2">
        <v>2087.96</v>
      </c>
      <c r="D214" s="1"/>
      <c r="E214" s="2"/>
    </row>
    <row r="215" spans="1:5" x14ac:dyDescent="0.3">
      <c r="A215" s="1"/>
      <c r="B215" s="1" t="s">
        <v>184</v>
      </c>
      <c r="C215" s="2">
        <v>776.07</v>
      </c>
      <c r="D215" s="1"/>
      <c r="E215" s="2"/>
    </row>
    <row r="216" spans="1:5" x14ac:dyDescent="0.3">
      <c r="A216" s="1"/>
      <c r="B216" s="1" t="s">
        <v>183</v>
      </c>
      <c r="C216" s="2">
        <v>8515.68</v>
      </c>
      <c r="D216" s="1"/>
      <c r="E216" s="2"/>
    </row>
    <row r="217" spans="1:5" x14ac:dyDescent="0.3">
      <c r="A217" s="1"/>
      <c r="B217" s="1" t="s">
        <v>182</v>
      </c>
      <c r="C217" s="2">
        <v>81891.570000000007</v>
      </c>
      <c r="D217" s="1"/>
      <c r="E217" s="2"/>
    </row>
    <row r="218" spans="1:5" x14ac:dyDescent="0.3">
      <c r="A218" s="1"/>
      <c r="B218" s="1" t="s">
        <v>181</v>
      </c>
      <c r="C218" s="2">
        <v>35574.910000000003</v>
      </c>
      <c r="D218" s="1"/>
      <c r="E218" s="2"/>
    </row>
    <row r="219" spans="1:5" x14ac:dyDescent="0.3">
      <c r="A219" s="1"/>
      <c r="B219" s="1" t="s">
        <v>180</v>
      </c>
      <c r="C219" s="2">
        <v>12118.55</v>
      </c>
      <c r="D219" s="1"/>
      <c r="E219" s="2"/>
    </row>
    <row r="220" spans="1:5" x14ac:dyDescent="0.3">
      <c r="A220" s="1"/>
      <c r="B220" s="1" t="s">
        <v>179</v>
      </c>
      <c r="C220" s="2">
        <v>16305.91</v>
      </c>
      <c r="D220" s="1"/>
      <c r="E220" s="2"/>
    </row>
    <row r="221" spans="1:5" x14ac:dyDescent="0.3">
      <c r="A221" s="1"/>
      <c r="B221" s="1" t="s">
        <v>178</v>
      </c>
      <c r="C221" s="2">
        <v>2543.6</v>
      </c>
      <c r="D221" s="1"/>
      <c r="E221" s="2"/>
    </row>
    <row r="222" spans="1:5" x14ac:dyDescent="0.3">
      <c r="A222" s="1"/>
      <c r="B222" s="1" t="s">
        <v>177</v>
      </c>
      <c r="C222" s="2">
        <v>27775</v>
      </c>
      <c r="D222" s="1"/>
      <c r="E222" s="2"/>
    </row>
    <row r="223" spans="1:5" x14ac:dyDescent="0.3">
      <c r="A223" s="1"/>
      <c r="B223" s="1" t="s">
        <v>174</v>
      </c>
      <c r="C223" s="2">
        <v>5491.91</v>
      </c>
      <c r="D223" s="1"/>
      <c r="E223" s="2"/>
    </row>
    <row r="224" spans="1:5" x14ac:dyDescent="0.3">
      <c r="A224" s="1"/>
      <c r="B224" s="1" t="s">
        <v>308</v>
      </c>
      <c r="C224" s="2"/>
      <c r="D224" s="1"/>
      <c r="E224" s="2">
        <v>5848</v>
      </c>
    </row>
    <row r="225" spans="1:5" x14ac:dyDescent="0.3">
      <c r="A225" s="1"/>
      <c r="B225" s="1" t="s">
        <v>171</v>
      </c>
      <c r="C225" s="2">
        <v>5491.25</v>
      </c>
      <c r="D225" s="1"/>
      <c r="E225" s="2"/>
    </row>
    <row r="226" spans="1:5" x14ac:dyDescent="0.3">
      <c r="A226" s="1"/>
      <c r="B226" s="1" t="s">
        <v>170</v>
      </c>
      <c r="C226" s="2">
        <v>28607.21</v>
      </c>
      <c r="D226" s="1"/>
      <c r="E226" s="2"/>
    </row>
    <row r="227" spans="1:5" x14ac:dyDescent="0.3">
      <c r="A227" s="1"/>
      <c r="B227" s="1" t="s">
        <v>169</v>
      </c>
      <c r="C227" s="2">
        <v>9452.0300000000007</v>
      </c>
      <c r="D227" s="1"/>
      <c r="E227" s="2"/>
    </row>
    <row r="228" spans="1:5" x14ac:dyDescent="0.3">
      <c r="A228" s="1"/>
      <c r="B228" s="1" t="s">
        <v>307</v>
      </c>
      <c r="C228" s="2">
        <v>316.3</v>
      </c>
      <c r="D228" s="1"/>
      <c r="E228" s="2"/>
    </row>
    <row r="229" spans="1:5" x14ac:dyDescent="0.3">
      <c r="A229" s="1"/>
      <c r="B229" s="1" t="s">
        <v>168</v>
      </c>
      <c r="C229" s="2">
        <v>16624.740000000002</v>
      </c>
      <c r="D229" s="1"/>
      <c r="E229" s="2"/>
    </row>
    <row r="230" spans="1:5" x14ac:dyDescent="0.3">
      <c r="A230" s="1"/>
      <c r="B230" s="1" t="s">
        <v>167</v>
      </c>
      <c r="C230" s="2">
        <v>28878.01</v>
      </c>
      <c r="D230" s="1"/>
      <c r="E230" s="2"/>
    </row>
    <row r="231" spans="1:5" x14ac:dyDescent="0.3">
      <c r="A231" s="1"/>
      <c r="B231" s="1" t="s">
        <v>166</v>
      </c>
      <c r="C231" s="2">
        <v>19338.47</v>
      </c>
      <c r="D231" s="1"/>
      <c r="E231" s="2"/>
    </row>
    <row r="232" spans="1:5" x14ac:dyDescent="0.3">
      <c r="A232" s="1"/>
      <c r="B232" s="1" t="s">
        <v>165</v>
      </c>
      <c r="C232" s="2">
        <v>69463.25</v>
      </c>
      <c r="D232" s="1"/>
      <c r="E232" s="2"/>
    </row>
    <row r="233" spans="1:5" x14ac:dyDescent="0.3">
      <c r="A233" s="1"/>
      <c r="B233" s="1" t="s">
        <v>161</v>
      </c>
      <c r="C233" s="2">
        <v>15329.7</v>
      </c>
      <c r="D233" s="1"/>
      <c r="E233" s="2"/>
    </row>
    <row r="234" spans="1:5" x14ac:dyDescent="0.3">
      <c r="A234" s="1"/>
      <c r="B234" s="1" t="s">
        <v>160</v>
      </c>
      <c r="C234" s="2">
        <v>48645.65</v>
      </c>
      <c r="D234" s="1"/>
      <c r="E234" s="2"/>
    </row>
    <row r="235" spans="1:5" x14ac:dyDescent="0.3">
      <c r="A235" s="1"/>
      <c r="B235" s="1" t="s">
        <v>159</v>
      </c>
      <c r="C235" s="2"/>
      <c r="D235" s="1"/>
      <c r="E235" s="2">
        <v>314.56</v>
      </c>
    </row>
    <row r="236" spans="1:5" x14ac:dyDescent="0.3">
      <c r="A236" s="1"/>
      <c r="B236" s="1" t="s">
        <v>158</v>
      </c>
      <c r="C236" s="2">
        <v>200723.58</v>
      </c>
      <c r="D236" s="1"/>
      <c r="E236" s="2"/>
    </row>
    <row r="237" spans="1:5" x14ac:dyDescent="0.3">
      <c r="A237" s="1"/>
      <c r="B237" s="1" t="s">
        <v>157</v>
      </c>
      <c r="C237" s="2">
        <v>123168.12</v>
      </c>
      <c r="D237" s="1"/>
      <c r="E237" s="2"/>
    </row>
    <row r="238" spans="1:5" x14ac:dyDescent="0.3">
      <c r="A238" s="1"/>
      <c r="B238" s="1" t="s">
        <v>156</v>
      </c>
      <c r="C238" s="2">
        <v>146355.64000000001</v>
      </c>
      <c r="D238" s="1"/>
      <c r="E238" s="2"/>
    </row>
    <row r="239" spans="1:5" x14ac:dyDescent="0.3">
      <c r="A239" s="1"/>
      <c r="B239" s="1" t="s">
        <v>152</v>
      </c>
      <c r="C239" s="2">
        <v>14665.67</v>
      </c>
      <c r="D239" s="1"/>
      <c r="E239" s="2"/>
    </row>
    <row r="240" spans="1:5" x14ac:dyDescent="0.3">
      <c r="A240" s="1"/>
      <c r="B240" s="1" t="s">
        <v>151</v>
      </c>
      <c r="C240" s="2">
        <v>9756.57</v>
      </c>
      <c r="D240" s="1"/>
      <c r="E240" s="2"/>
    </row>
    <row r="241" spans="1:5" x14ac:dyDescent="0.3">
      <c r="A241" s="1"/>
      <c r="B241" s="1" t="s">
        <v>150</v>
      </c>
      <c r="C241" s="2">
        <v>7159.2</v>
      </c>
      <c r="D241" s="1"/>
      <c r="E241" s="2"/>
    </row>
    <row r="242" spans="1:5" x14ac:dyDescent="0.3">
      <c r="A242" s="1"/>
      <c r="B242" s="1" t="s">
        <v>149</v>
      </c>
      <c r="C242" s="2">
        <v>3687.91</v>
      </c>
      <c r="D242" s="1"/>
      <c r="E242" s="2"/>
    </row>
    <row r="243" spans="1:5" x14ac:dyDescent="0.3">
      <c r="A243" s="1"/>
      <c r="B243" s="1" t="s">
        <v>146</v>
      </c>
      <c r="C243" s="2">
        <v>1427.03</v>
      </c>
      <c r="D243" s="1"/>
      <c r="E243" s="2"/>
    </row>
    <row r="244" spans="1:5" x14ac:dyDescent="0.3">
      <c r="A244" s="1"/>
      <c r="B244" s="1" t="s">
        <v>145</v>
      </c>
      <c r="C244" s="2">
        <v>12252.78</v>
      </c>
      <c r="D244" s="1"/>
      <c r="E244" s="2"/>
    </row>
    <row r="245" spans="1:5" x14ac:dyDescent="0.3">
      <c r="A245" s="1"/>
      <c r="B245" s="1" t="s">
        <v>304</v>
      </c>
      <c r="C245" s="2">
        <v>5848</v>
      </c>
      <c r="D245" s="1"/>
      <c r="E245" s="2"/>
    </row>
    <row r="246" spans="1:5" x14ac:dyDescent="0.3">
      <c r="A246" s="1"/>
      <c r="B246" s="1" t="s">
        <v>139</v>
      </c>
      <c r="C246" s="2"/>
      <c r="D246" s="1"/>
      <c r="E246" s="2">
        <v>339300.39</v>
      </c>
    </row>
    <row r="247" spans="1:5" x14ac:dyDescent="0.3">
      <c r="A247" s="1"/>
      <c r="B247" s="1" t="s">
        <v>138</v>
      </c>
      <c r="C247" s="2"/>
      <c r="D247" s="1"/>
      <c r="E247" s="2">
        <v>2217.73</v>
      </c>
    </row>
    <row r="248" spans="1:5" x14ac:dyDescent="0.3">
      <c r="A248" s="1"/>
      <c r="B248" s="1" t="s">
        <v>137</v>
      </c>
      <c r="C248" s="2"/>
      <c r="D248" s="1"/>
      <c r="E248" s="2">
        <v>2047.92</v>
      </c>
    </row>
    <row r="249" spans="1:5" x14ac:dyDescent="0.3">
      <c r="A249" s="1"/>
      <c r="B249" s="1" t="s">
        <v>133</v>
      </c>
      <c r="C249" s="2">
        <v>70662.429999999993</v>
      </c>
      <c r="D249" s="1"/>
      <c r="E249" s="2"/>
    </row>
    <row r="250" spans="1:5" ht="15" thickBot="1" x14ac:dyDescent="0.35">
      <c r="A250" s="1"/>
      <c r="B250" s="1" t="s">
        <v>132</v>
      </c>
      <c r="C250" s="2">
        <v>69587.31</v>
      </c>
      <c r="D250" s="1"/>
      <c r="E250" s="2"/>
    </row>
    <row r="251" spans="1:5" s="8" customFormat="1" thickBot="1" x14ac:dyDescent="0.35">
      <c r="A251" s="1" t="s">
        <v>317</v>
      </c>
      <c r="B251" s="1"/>
      <c r="C251" s="7">
        <f>ROUND(SUM(C3:C250),5)</f>
        <v>10015008</v>
      </c>
      <c r="D251" s="1"/>
      <c r="E251" s="7">
        <f>ROUND(SUM(E3:E250),5)</f>
        <v>10015008</v>
      </c>
    </row>
    <row r="252" spans="1:5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5:06 PM
&amp;"Calibri,Regular"&amp;10 05/14/26&amp;C&amp;"Calibri,Regular"&amp;12 Live Marketing, LLC
&amp;"Calibri,Regular"&amp;14 Trial Balance
&amp;"Calibri,Regular"&amp;10 As of December 31, 2024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614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6146" r:id="rId4" name="HEADER"/>
      </mc:Fallback>
    </mc:AlternateContent>
    <mc:AlternateContent xmlns:mc="http://schemas.openxmlformats.org/markup-compatibility/2006">
      <mc:Choice Requires="x14">
        <control shapeId="614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6145" r:id="rId6" name="FILTER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220-04E2-4F7E-8DDF-1C98B84406F3}">
  <sheetPr codeName="Sheet6"/>
  <dimension ref="A1:E249"/>
  <sheetViews>
    <sheetView tabSelected="1"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 activeCell="F11" sqref="F11"/>
    </sheetView>
  </sheetViews>
  <sheetFormatPr defaultRowHeight="14.4" x14ac:dyDescent="0.3"/>
  <cols>
    <col min="1" max="1" width="3" style="8" customWidth="1"/>
    <col min="2" max="2" width="36.5546875" style="8" customWidth="1"/>
    <col min="3" max="3" width="12.33203125" bestFit="1" customWidth="1"/>
    <col min="4" max="4" width="2.33203125" customWidth="1"/>
    <col min="5" max="5" width="12.33203125" bestFit="1" customWidth="1"/>
  </cols>
  <sheetData>
    <row r="1" spans="1:5" ht="15" thickBot="1" x14ac:dyDescent="0.35">
      <c r="A1" s="1"/>
      <c r="B1" s="1"/>
      <c r="C1" s="18" t="s">
        <v>0</v>
      </c>
      <c r="D1" s="17"/>
      <c r="E1" s="16"/>
    </row>
    <row r="2" spans="1:5" s="11" customFormat="1" ht="15.6" thickTop="1" thickBot="1" x14ac:dyDescent="0.35">
      <c r="A2" s="9"/>
      <c r="B2" s="9"/>
      <c r="C2" s="14" t="s">
        <v>384</v>
      </c>
      <c r="D2" s="15"/>
      <c r="E2" s="14" t="s">
        <v>383</v>
      </c>
    </row>
    <row r="3" spans="1:5" ht="15" thickTop="1" x14ac:dyDescent="0.3">
      <c r="A3" s="1"/>
      <c r="B3" s="1" t="s">
        <v>4</v>
      </c>
      <c r="C3" s="2">
        <v>0</v>
      </c>
      <c r="D3" s="1"/>
      <c r="E3" s="2"/>
    </row>
    <row r="4" spans="1:5" x14ac:dyDescent="0.3">
      <c r="A4" s="1"/>
      <c r="B4" s="1" t="s">
        <v>382</v>
      </c>
      <c r="C4" s="2">
        <v>0</v>
      </c>
      <c r="D4" s="1"/>
      <c r="E4" s="2"/>
    </row>
    <row r="5" spans="1:5" x14ac:dyDescent="0.3">
      <c r="A5" s="1"/>
      <c r="B5" s="1" t="s">
        <v>5</v>
      </c>
      <c r="C5" s="2">
        <v>139.21</v>
      </c>
      <c r="D5" s="1"/>
      <c r="E5" s="2"/>
    </row>
    <row r="6" spans="1:5" x14ac:dyDescent="0.3">
      <c r="A6" s="1"/>
      <c r="B6" s="1" t="s">
        <v>381</v>
      </c>
      <c r="C6" s="2">
        <v>0</v>
      </c>
      <c r="D6" s="1"/>
      <c r="E6" s="2"/>
    </row>
    <row r="7" spans="1:5" x14ac:dyDescent="0.3">
      <c r="A7" s="1"/>
      <c r="B7" s="1" t="s">
        <v>380</v>
      </c>
      <c r="C7" s="2">
        <v>0</v>
      </c>
      <c r="D7" s="1"/>
      <c r="E7" s="2"/>
    </row>
    <row r="8" spans="1:5" x14ac:dyDescent="0.3">
      <c r="A8" s="1"/>
      <c r="B8" s="1" t="s">
        <v>379</v>
      </c>
      <c r="C8" s="2">
        <v>0</v>
      </c>
      <c r="D8" s="1"/>
      <c r="E8" s="2"/>
    </row>
    <row r="9" spans="1:5" x14ac:dyDescent="0.3">
      <c r="A9" s="1"/>
      <c r="B9" s="1" t="s">
        <v>6</v>
      </c>
      <c r="C9" s="2">
        <v>2.38</v>
      </c>
      <c r="D9" s="1"/>
      <c r="E9" s="2"/>
    </row>
    <row r="10" spans="1:5" x14ac:dyDescent="0.3">
      <c r="A10" s="1"/>
      <c r="B10" s="1" t="s">
        <v>7</v>
      </c>
      <c r="C10" s="2">
        <v>1134.8800000000001</v>
      </c>
      <c r="D10" s="1"/>
      <c r="E10" s="2"/>
    </row>
    <row r="11" spans="1:5" x14ac:dyDescent="0.3">
      <c r="A11" s="1"/>
      <c r="B11" s="1" t="s">
        <v>8</v>
      </c>
      <c r="C11" s="2"/>
      <c r="D11" s="1"/>
      <c r="E11" s="2">
        <v>3741.23</v>
      </c>
    </row>
    <row r="12" spans="1:5" x14ac:dyDescent="0.3">
      <c r="A12" s="1"/>
      <c r="B12" s="1" t="s">
        <v>9</v>
      </c>
      <c r="C12" s="2">
        <v>90</v>
      </c>
      <c r="D12" s="1"/>
      <c r="E12" s="2"/>
    </row>
    <row r="13" spans="1:5" x14ac:dyDescent="0.3">
      <c r="A13" s="1"/>
      <c r="B13" s="1" t="s">
        <v>10</v>
      </c>
      <c r="C13" s="2"/>
      <c r="D13" s="1"/>
      <c r="E13" s="2">
        <v>12827.08</v>
      </c>
    </row>
    <row r="14" spans="1:5" x14ac:dyDescent="0.3">
      <c r="A14" s="1"/>
      <c r="B14" s="1" t="s">
        <v>378</v>
      </c>
      <c r="C14" s="2">
        <v>0</v>
      </c>
      <c r="D14" s="1"/>
      <c r="E14" s="2"/>
    </row>
    <row r="15" spans="1:5" x14ac:dyDescent="0.3">
      <c r="A15" s="1"/>
      <c r="B15" s="1" t="s">
        <v>11</v>
      </c>
      <c r="C15" s="2">
        <v>2769.2</v>
      </c>
      <c r="D15" s="1"/>
      <c r="E15" s="2"/>
    </row>
    <row r="16" spans="1:5" x14ac:dyDescent="0.3">
      <c r="A16" s="1"/>
      <c r="B16" s="1" t="s">
        <v>12</v>
      </c>
      <c r="C16" s="2">
        <v>0.65</v>
      </c>
      <c r="D16" s="1"/>
      <c r="E16" s="2"/>
    </row>
    <row r="17" spans="1:5" x14ac:dyDescent="0.3">
      <c r="A17" s="1"/>
      <c r="B17" s="1" t="s">
        <v>13</v>
      </c>
      <c r="C17" s="2"/>
      <c r="D17" s="1"/>
      <c r="E17" s="2">
        <v>29896.54</v>
      </c>
    </row>
    <row r="18" spans="1:5" x14ac:dyDescent="0.3">
      <c r="A18" s="1"/>
      <c r="B18" s="1" t="s">
        <v>377</v>
      </c>
      <c r="C18" s="2">
        <v>0</v>
      </c>
      <c r="D18" s="1"/>
      <c r="E18" s="2"/>
    </row>
    <row r="19" spans="1:5" x14ac:dyDescent="0.3">
      <c r="A19" s="1"/>
      <c r="B19" s="1" t="s">
        <v>376</v>
      </c>
      <c r="C19" s="2">
        <v>0</v>
      </c>
      <c r="D19" s="1"/>
      <c r="E19" s="2"/>
    </row>
    <row r="20" spans="1:5" x14ac:dyDescent="0.3">
      <c r="A20" s="1"/>
      <c r="B20" s="1" t="s">
        <v>17</v>
      </c>
      <c r="C20" s="2">
        <v>0</v>
      </c>
      <c r="D20" s="1"/>
      <c r="E20" s="2"/>
    </row>
    <row r="21" spans="1:5" x14ac:dyDescent="0.3">
      <c r="A21" s="1"/>
      <c r="B21" s="1" t="s">
        <v>18</v>
      </c>
      <c r="C21" s="2">
        <v>324170.75</v>
      </c>
      <c r="D21" s="1"/>
      <c r="E21" s="2"/>
    </row>
    <row r="22" spans="1:5" x14ac:dyDescent="0.3">
      <c r="A22" s="1"/>
      <c r="B22" s="1" t="s">
        <v>375</v>
      </c>
      <c r="C22" s="2">
        <v>0</v>
      </c>
      <c r="D22" s="1"/>
      <c r="E22" s="2"/>
    </row>
    <row r="23" spans="1:5" x14ac:dyDescent="0.3">
      <c r="A23" s="1"/>
      <c r="B23" s="1" t="s">
        <v>127</v>
      </c>
      <c r="C23" s="2">
        <v>0</v>
      </c>
      <c r="D23" s="1"/>
      <c r="E23" s="2"/>
    </row>
    <row r="24" spans="1:5" x14ac:dyDescent="0.3">
      <c r="A24" s="1"/>
      <c r="B24" s="1" t="s">
        <v>22</v>
      </c>
      <c r="C24" s="2">
        <v>0</v>
      </c>
      <c r="D24" s="1"/>
      <c r="E24" s="2"/>
    </row>
    <row r="25" spans="1:5" x14ac:dyDescent="0.3">
      <c r="A25" s="1"/>
      <c r="B25" s="1" t="s">
        <v>23</v>
      </c>
      <c r="C25" s="2">
        <v>325.95</v>
      </c>
      <c r="D25" s="1"/>
      <c r="E25" s="2"/>
    </row>
    <row r="26" spans="1:5" x14ac:dyDescent="0.3">
      <c r="A26" s="1"/>
      <c r="B26" s="1" t="s">
        <v>374</v>
      </c>
      <c r="C26" s="2">
        <v>0</v>
      </c>
      <c r="D26" s="1"/>
      <c r="E26" s="2"/>
    </row>
    <row r="27" spans="1:5" x14ac:dyDescent="0.3">
      <c r="A27" s="1"/>
      <c r="B27" s="1" t="s">
        <v>373</v>
      </c>
      <c r="C27" s="2">
        <v>0</v>
      </c>
      <c r="D27" s="1"/>
      <c r="E27" s="2"/>
    </row>
    <row r="28" spans="1:5" x14ac:dyDescent="0.3">
      <c r="A28" s="1"/>
      <c r="B28" s="1" t="s">
        <v>372</v>
      </c>
      <c r="C28" s="2">
        <v>0</v>
      </c>
      <c r="D28" s="1"/>
      <c r="E28" s="2"/>
    </row>
    <row r="29" spans="1:5" x14ac:dyDescent="0.3">
      <c r="A29" s="1"/>
      <c r="B29" s="1" t="s">
        <v>371</v>
      </c>
      <c r="C29" s="2">
        <v>0</v>
      </c>
      <c r="D29" s="1"/>
      <c r="E29" s="2"/>
    </row>
    <row r="30" spans="1:5" x14ac:dyDescent="0.3">
      <c r="A30" s="1"/>
      <c r="B30" s="1" t="s">
        <v>370</v>
      </c>
      <c r="C30" s="2">
        <v>0</v>
      </c>
      <c r="D30" s="1"/>
      <c r="E30" s="2"/>
    </row>
    <row r="31" spans="1:5" x14ac:dyDescent="0.3">
      <c r="A31" s="1"/>
      <c r="B31" s="1" t="s">
        <v>24</v>
      </c>
      <c r="C31" s="2">
        <v>95816.73</v>
      </c>
      <c r="D31" s="1"/>
      <c r="E31" s="2"/>
    </row>
    <row r="32" spans="1:5" x14ac:dyDescent="0.3">
      <c r="A32" s="1"/>
      <c r="B32" s="1" t="s">
        <v>369</v>
      </c>
      <c r="C32" s="2">
        <v>0</v>
      </c>
      <c r="D32" s="1"/>
      <c r="E32" s="2"/>
    </row>
    <row r="33" spans="1:5" x14ac:dyDescent="0.3">
      <c r="A33" s="1"/>
      <c r="B33" s="1" t="s">
        <v>368</v>
      </c>
      <c r="C33" s="2">
        <v>0</v>
      </c>
      <c r="D33" s="1"/>
      <c r="E33" s="2"/>
    </row>
    <row r="34" spans="1:5" x14ac:dyDescent="0.3">
      <c r="A34" s="1"/>
      <c r="B34" s="1" t="s">
        <v>367</v>
      </c>
      <c r="C34" s="2">
        <v>0</v>
      </c>
      <c r="D34" s="1"/>
      <c r="E34" s="2"/>
    </row>
    <row r="35" spans="1:5" x14ac:dyDescent="0.3">
      <c r="A35" s="1"/>
      <c r="B35" s="1" t="s">
        <v>25</v>
      </c>
      <c r="C35" s="2">
        <v>2216.04</v>
      </c>
      <c r="D35" s="1"/>
      <c r="E35" s="2"/>
    </row>
    <row r="36" spans="1:5" x14ac:dyDescent="0.3">
      <c r="A36" s="1"/>
      <c r="B36" s="1" t="s">
        <v>366</v>
      </c>
      <c r="C36" s="2">
        <v>0</v>
      </c>
      <c r="D36" s="1"/>
      <c r="E36" s="2"/>
    </row>
    <row r="37" spans="1:5" x14ac:dyDescent="0.3">
      <c r="A37" s="1"/>
      <c r="B37" s="1" t="s">
        <v>26</v>
      </c>
      <c r="C37" s="2">
        <v>3465.04</v>
      </c>
      <c r="D37" s="1"/>
      <c r="E37" s="2"/>
    </row>
    <row r="38" spans="1:5" x14ac:dyDescent="0.3">
      <c r="A38" s="1"/>
      <c r="B38" s="1" t="s">
        <v>27</v>
      </c>
      <c r="C38" s="2">
        <v>356705.95</v>
      </c>
      <c r="D38" s="1"/>
      <c r="E38" s="2"/>
    </row>
    <row r="39" spans="1:5" x14ac:dyDescent="0.3">
      <c r="A39" s="1"/>
      <c r="B39" s="1" t="s">
        <v>365</v>
      </c>
      <c r="C39" s="2">
        <v>0</v>
      </c>
      <c r="D39" s="1"/>
      <c r="E39" s="2"/>
    </row>
    <row r="40" spans="1:5" x14ac:dyDescent="0.3">
      <c r="A40" s="1"/>
      <c r="B40" s="1" t="s">
        <v>29</v>
      </c>
      <c r="C40" s="2">
        <v>0</v>
      </c>
      <c r="D40" s="1"/>
      <c r="E40" s="2"/>
    </row>
    <row r="41" spans="1:5" x14ac:dyDescent="0.3">
      <c r="A41" s="1"/>
      <c r="B41" s="1" t="s">
        <v>30</v>
      </c>
      <c r="C41" s="2">
        <v>97212.72</v>
      </c>
      <c r="D41" s="1"/>
      <c r="E41" s="2"/>
    </row>
    <row r="42" spans="1:5" x14ac:dyDescent="0.3">
      <c r="A42" s="1"/>
      <c r="B42" s="1" t="s">
        <v>31</v>
      </c>
      <c r="C42" s="2">
        <v>29815.58</v>
      </c>
      <c r="D42" s="1"/>
      <c r="E42" s="2"/>
    </row>
    <row r="43" spans="1:5" x14ac:dyDescent="0.3">
      <c r="A43" s="1"/>
      <c r="B43" s="1" t="s">
        <v>364</v>
      </c>
      <c r="C43" s="2">
        <v>0</v>
      </c>
      <c r="D43" s="1"/>
      <c r="E43" s="2"/>
    </row>
    <row r="44" spans="1:5" x14ac:dyDescent="0.3">
      <c r="A44" s="1"/>
      <c r="B44" s="1" t="s">
        <v>32</v>
      </c>
      <c r="C44" s="2">
        <v>86739.87</v>
      </c>
      <c r="D44" s="1"/>
      <c r="E44" s="2"/>
    </row>
    <row r="45" spans="1:5" x14ac:dyDescent="0.3">
      <c r="A45" s="1"/>
      <c r="B45" s="1" t="s">
        <v>33</v>
      </c>
      <c r="C45" s="2">
        <v>20691.75</v>
      </c>
      <c r="D45" s="1"/>
      <c r="E45" s="2"/>
    </row>
    <row r="46" spans="1:5" x14ac:dyDescent="0.3">
      <c r="A46" s="1"/>
      <c r="B46" s="1" t="s">
        <v>34</v>
      </c>
      <c r="C46" s="2">
        <v>340417.18</v>
      </c>
      <c r="D46" s="1"/>
      <c r="E46" s="2"/>
    </row>
    <row r="47" spans="1:5" x14ac:dyDescent="0.3">
      <c r="A47" s="1"/>
      <c r="B47" s="1" t="s">
        <v>37</v>
      </c>
      <c r="C47" s="2"/>
      <c r="D47" s="1"/>
      <c r="E47" s="2">
        <v>44179.27</v>
      </c>
    </row>
    <row r="48" spans="1:5" x14ac:dyDescent="0.3">
      <c r="A48" s="1"/>
      <c r="B48" s="1" t="s">
        <v>38</v>
      </c>
      <c r="C48" s="2">
        <v>620.75</v>
      </c>
      <c r="D48" s="1"/>
      <c r="E48" s="2"/>
    </row>
    <row r="49" spans="1:5" x14ac:dyDescent="0.3">
      <c r="A49" s="1"/>
      <c r="B49" s="1" t="s">
        <v>363</v>
      </c>
      <c r="C49" s="2">
        <v>0</v>
      </c>
      <c r="D49" s="1"/>
      <c r="E49" s="2"/>
    </row>
    <row r="50" spans="1:5" x14ac:dyDescent="0.3">
      <c r="A50" s="1"/>
      <c r="B50" s="1" t="s">
        <v>362</v>
      </c>
      <c r="C50" s="2">
        <v>0</v>
      </c>
      <c r="D50" s="1"/>
      <c r="E50" s="2"/>
    </row>
    <row r="51" spans="1:5" x14ac:dyDescent="0.3">
      <c r="A51" s="1"/>
      <c r="B51" s="1" t="s">
        <v>43</v>
      </c>
      <c r="C51" s="2">
        <v>0</v>
      </c>
      <c r="D51" s="1"/>
      <c r="E51" s="2"/>
    </row>
    <row r="52" spans="1:5" x14ac:dyDescent="0.3">
      <c r="A52" s="1"/>
      <c r="B52" s="1" t="s">
        <v>44</v>
      </c>
      <c r="C52" s="2">
        <v>127870.61</v>
      </c>
      <c r="D52" s="1"/>
      <c r="E52" s="2"/>
    </row>
    <row r="53" spans="1:5" x14ac:dyDescent="0.3">
      <c r="A53" s="1"/>
      <c r="B53" s="1" t="s">
        <v>361</v>
      </c>
      <c r="C53" s="2">
        <v>0</v>
      </c>
      <c r="D53" s="1"/>
      <c r="E53" s="2"/>
    </row>
    <row r="54" spans="1:5" x14ac:dyDescent="0.3">
      <c r="A54" s="1"/>
      <c r="B54" s="1" t="s">
        <v>45</v>
      </c>
      <c r="C54" s="2">
        <v>100654.37</v>
      </c>
      <c r="D54" s="1"/>
      <c r="E54" s="2"/>
    </row>
    <row r="55" spans="1:5" x14ac:dyDescent="0.3">
      <c r="A55" s="1"/>
      <c r="B55" s="1" t="s">
        <v>360</v>
      </c>
      <c r="C55" s="2">
        <v>0</v>
      </c>
      <c r="D55" s="1"/>
      <c r="E55" s="2"/>
    </row>
    <row r="56" spans="1:5" x14ac:dyDescent="0.3">
      <c r="A56" s="1"/>
      <c r="B56" s="1" t="s">
        <v>48</v>
      </c>
      <c r="C56" s="2">
        <v>692314.6</v>
      </c>
      <c r="D56" s="1"/>
      <c r="E56" s="2"/>
    </row>
    <row r="57" spans="1:5" x14ac:dyDescent="0.3">
      <c r="A57" s="1"/>
      <c r="B57" s="1" t="s">
        <v>49</v>
      </c>
      <c r="C57" s="2">
        <v>42926.38</v>
      </c>
      <c r="D57" s="1"/>
      <c r="E57" s="2"/>
    </row>
    <row r="58" spans="1:5" x14ac:dyDescent="0.3">
      <c r="A58" s="1"/>
      <c r="B58" s="1" t="s">
        <v>50</v>
      </c>
      <c r="C58" s="2">
        <v>281642.03000000003</v>
      </c>
      <c r="D58" s="1"/>
      <c r="E58" s="2"/>
    </row>
    <row r="59" spans="1:5" x14ac:dyDescent="0.3">
      <c r="A59" s="1"/>
      <c r="B59" s="1" t="s">
        <v>359</v>
      </c>
      <c r="C59" s="2">
        <v>0</v>
      </c>
      <c r="D59" s="1"/>
      <c r="E59" s="2"/>
    </row>
    <row r="60" spans="1:5" x14ac:dyDescent="0.3">
      <c r="A60" s="1"/>
      <c r="B60" s="1" t="s">
        <v>51</v>
      </c>
      <c r="C60" s="2">
        <v>110550</v>
      </c>
      <c r="D60" s="1"/>
      <c r="E60" s="2"/>
    </row>
    <row r="61" spans="1:5" x14ac:dyDescent="0.3">
      <c r="A61" s="1"/>
      <c r="B61" s="1" t="s">
        <v>358</v>
      </c>
      <c r="C61" s="2">
        <v>0</v>
      </c>
      <c r="D61" s="1"/>
      <c r="E61" s="2"/>
    </row>
    <row r="62" spans="1:5" x14ac:dyDescent="0.3">
      <c r="A62" s="1"/>
      <c r="B62" s="1" t="s">
        <v>52</v>
      </c>
      <c r="C62" s="2">
        <v>512000</v>
      </c>
      <c r="D62" s="1"/>
      <c r="E62" s="2"/>
    </row>
    <row r="63" spans="1:5" x14ac:dyDescent="0.3">
      <c r="A63" s="1"/>
      <c r="B63" s="1" t="s">
        <v>54</v>
      </c>
      <c r="C63" s="2"/>
      <c r="D63" s="1"/>
      <c r="E63" s="2">
        <v>259381.17</v>
      </c>
    </row>
    <row r="64" spans="1:5" x14ac:dyDescent="0.3">
      <c r="A64" s="1"/>
      <c r="B64" s="1" t="s">
        <v>55</v>
      </c>
      <c r="C64" s="2"/>
      <c r="D64" s="1"/>
      <c r="E64" s="2">
        <v>73027.429999999993</v>
      </c>
    </row>
    <row r="65" spans="1:5" x14ac:dyDescent="0.3">
      <c r="A65" s="1"/>
      <c r="B65" s="1" t="s">
        <v>58</v>
      </c>
      <c r="C65" s="2">
        <v>66860</v>
      </c>
      <c r="D65" s="1"/>
      <c r="E65" s="2"/>
    </row>
    <row r="66" spans="1:5" x14ac:dyDescent="0.3">
      <c r="A66" s="1"/>
      <c r="B66" s="1" t="s">
        <v>65</v>
      </c>
      <c r="C66" s="2">
        <v>0</v>
      </c>
      <c r="D66" s="1"/>
      <c r="E66" s="2"/>
    </row>
    <row r="67" spans="1:5" x14ac:dyDescent="0.3">
      <c r="A67" s="1"/>
      <c r="B67" s="1" t="s">
        <v>66</v>
      </c>
      <c r="C67" s="2"/>
      <c r="D67" s="1"/>
      <c r="E67" s="2">
        <v>298274.03999999998</v>
      </c>
    </row>
    <row r="68" spans="1:5" x14ac:dyDescent="0.3">
      <c r="A68" s="1"/>
      <c r="B68" s="1" t="s">
        <v>70</v>
      </c>
      <c r="C68" s="2"/>
      <c r="D68" s="1"/>
      <c r="E68" s="2">
        <v>179.47</v>
      </c>
    </row>
    <row r="69" spans="1:5" x14ac:dyDescent="0.3">
      <c r="A69" s="1"/>
      <c r="B69" s="1" t="s">
        <v>71</v>
      </c>
      <c r="C69" s="2"/>
      <c r="D69" s="1"/>
      <c r="E69" s="2">
        <v>5111.79</v>
      </c>
    </row>
    <row r="70" spans="1:5" x14ac:dyDescent="0.3">
      <c r="A70" s="1"/>
      <c r="B70" s="1" t="s">
        <v>72</v>
      </c>
      <c r="C70" s="2">
        <v>459.84</v>
      </c>
      <c r="D70" s="1"/>
      <c r="E70" s="2"/>
    </row>
    <row r="71" spans="1:5" x14ac:dyDescent="0.3">
      <c r="A71" s="1"/>
      <c r="B71" s="1" t="s">
        <v>73</v>
      </c>
      <c r="C71" s="2"/>
      <c r="D71" s="1"/>
      <c r="E71" s="2">
        <v>4692.1000000000004</v>
      </c>
    </row>
    <row r="72" spans="1:5" x14ac:dyDescent="0.3">
      <c r="A72" s="1"/>
      <c r="B72" s="1" t="s">
        <v>74</v>
      </c>
      <c r="C72" s="2">
        <v>765.8</v>
      </c>
      <c r="D72" s="1"/>
      <c r="E72" s="2"/>
    </row>
    <row r="73" spans="1:5" x14ac:dyDescent="0.3">
      <c r="A73" s="1"/>
      <c r="B73" s="1" t="s">
        <v>75</v>
      </c>
      <c r="C73" s="2"/>
      <c r="D73" s="1"/>
      <c r="E73" s="2">
        <v>21321.08</v>
      </c>
    </row>
    <row r="74" spans="1:5" x14ac:dyDescent="0.3">
      <c r="A74" s="1"/>
      <c r="B74" s="1" t="s">
        <v>76</v>
      </c>
      <c r="C74" s="2"/>
      <c r="D74" s="1"/>
      <c r="E74" s="2">
        <v>1207.69</v>
      </c>
    </row>
    <row r="75" spans="1:5" x14ac:dyDescent="0.3">
      <c r="A75" s="1"/>
      <c r="B75" s="1" t="s">
        <v>77</v>
      </c>
      <c r="C75" s="2"/>
      <c r="D75" s="1"/>
      <c r="E75" s="2">
        <v>9752.15</v>
      </c>
    </row>
    <row r="76" spans="1:5" x14ac:dyDescent="0.3">
      <c r="A76" s="1"/>
      <c r="B76" s="1" t="s">
        <v>357</v>
      </c>
      <c r="C76" s="2">
        <v>0</v>
      </c>
      <c r="D76" s="1"/>
      <c r="E76" s="2"/>
    </row>
    <row r="77" spans="1:5" x14ac:dyDescent="0.3">
      <c r="A77" s="1"/>
      <c r="B77" s="1" t="s">
        <v>356</v>
      </c>
      <c r="C77" s="2">
        <v>0</v>
      </c>
      <c r="D77" s="1"/>
      <c r="E77" s="2"/>
    </row>
    <row r="78" spans="1:5" x14ac:dyDescent="0.3">
      <c r="A78" s="1"/>
      <c r="B78" s="1" t="s">
        <v>83</v>
      </c>
      <c r="C78" s="2"/>
      <c r="D78" s="1"/>
      <c r="E78" s="2">
        <v>272739.27</v>
      </c>
    </row>
    <row r="79" spans="1:5" x14ac:dyDescent="0.3">
      <c r="A79" s="1"/>
      <c r="B79" s="1" t="s">
        <v>85</v>
      </c>
      <c r="C79" s="2"/>
      <c r="D79" s="1"/>
      <c r="E79" s="2">
        <v>193304.21</v>
      </c>
    </row>
    <row r="80" spans="1:5" x14ac:dyDescent="0.3">
      <c r="A80" s="1"/>
      <c r="B80" s="1" t="s">
        <v>86</v>
      </c>
      <c r="C80" s="2">
        <v>200</v>
      </c>
      <c r="D80" s="1"/>
      <c r="E80" s="2"/>
    </row>
    <row r="81" spans="1:5" x14ac:dyDescent="0.3">
      <c r="A81" s="1"/>
      <c r="B81" s="1" t="s">
        <v>87</v>
      </c>
      <c r="C81" s="2">
        <v>113.18</v>
      </c>
      <c r="D81" s="1"/>
      <c r="E81" s="2"/>
    </row>
    <row r="82" spans="1:5" x14ac:dyDescent="0.3">
      <c r="A82" s="1"/>
      <c r="B82" s="1" t="s">
        <v>355</v>
      </c>
      <c r="C82" s="2">
        <v>0</v>
      </c>
      <c r="D82" s="1"/>
      <c r="E82" s="2"/>
    </row>
    <row r="83" spans="1:5" x14ac:dyDescent="0.3">
      <c r="A83" s="1"/>
      <c r="B83" s="1" t="s">
        <v>354</v>
      </c>
      <c r="C83" s="2">
        <v>0</v>
      </c>
      <c r="D83" s="1"/>
      <c r="E83" s="2"/>
    </row>
    <row r="84" spans="1:5" x14ac:dyDescent="0.3">
      <c r="A84" s="1"/>
      <c r="B84" s="1" t="s">
        <v>353</v>
      </c>
      <c r="C84" s="2">
        <v>0</v>
      </c>
      <c r="D84" s="1"/>
      <c r="E84" s="2"/>
    </row>
    <row r="85" spans="1:5" x14ac:dyDescent="0.3">
      <c r="A85" s="1"/>
      <c r="B85" s="1" t="s">
        <v>352</v>
      </c>
      <c r="C85" s="2">
        <v>0</v>
      </c>
      <c r="D85" s="1"/>
      <c r="E85" s="2"/>
    </row>
    <row r="86" spans="1:5" x14ac:dyDescent="0.3">
      <c r="A86" s="1"/>
      <c r="B86" s="1" t="s">
        <v>88</v>
      </c>
      <c r="C86" s="2"/>
      <c r="D86" s="1"/>
      <c r="E86" s="2">
        <v>931.26</v>
      </c>
    </row>
    <row r="87" spans="1:5" x14ac:dyDescent="0.3">
      <c r="A87" s="1"/>
      <c r="B87" s="1" t="s">
        <v>89</v>
      </c>
      <c r="C87" s="2">
        <v>414.88</v>
      </c>
      <c r="D87" s="1"/>
      <c r="E87" s="2"/>
    </row>
    <row r="88" spans="1:5" x14ac:dyDescent="0.3">
      <c r="A88" s="1"/>
      <c r="B88" s="1" t="s">
        <v>351</v>
      </c>
      <c r="C88" s="2">
        <v>0</v>
      </c>
      <c r="D88" s="1"/>
      <c r="E88" s="2"/>
    </row>
    <row r="89" spans="1:5" x14ac:dyDescent="0.3">
      <c r="A89" s="1"/>
      <c r="B89" s="1" t="s">
        <v>90</v>
      </c>
      <c r="C89" s="2">
        <v>4013.03</v>
      </c>
      <c r="D89" s="1"/>
      <c r="E89" s="2"/>
    </row>
    <row r="90" spans="1:5" x14ac:dyDescent="0.3">
      <c r="A90" s="1"/>
      <c r="B90" s="1" t="s">
        <v>350</v>
      </c>
      <c r="C90" s="2">
        <v>0</v>
      </c>
      <c r="D90" s="1"/>
      <c r="E90" s="2"/>
    </row>
    <row r="91" spans="1:5" x14ac:dyDescent="0.3">
      <c r="A91" s="1"/>
      <c r="B91" s="1" t="s">
        <v>93</v>
      </c>
      <c r="C91" s="2"/>
      <c r="D91" s="1"/>
      <c r="E91" s="2">
        <v>515.94000000000005</v>
      </c>
    </row>
    <row r="92" spans="1:5" x14ac:dyDescent="0.3">
      <c r="A92" s="1"/>
      <c r="B92" s="1" t="s">
        <v>94</v>
      </c>
      <c r="C92" s="2"/>
      <c r="D92" s="1"/>
      <c r="E92" s="2">
        <v>2500</v>
      </c>
    </row>
    <row r="93" spans="1:5" x14ac:dyDescent="0.3">
      <c r="A93" s="1"/>
      <c r="B93" s="1" t="s">
        <v>349</v>
      </c>
      <c r="C93" s="2">
        <v>0</v>
      </c>
      <c r="D93" s="1"/>
      <c r="E93" s="2"/>
    </row>
    <row r="94" spans="1:5" x14ac:dyDescent="0.3">
      <c r="A94" s="1"/>
      <c r="B94" s="1" t="s">
        <v>348</v>
      </c>
      <c r="C94" s="2">
        <v>0</v>
      </c>
      <c r="D94" s="1"/>
      <c r="E94" s="2"/>
    </row>
    <row r="95" spans="1:5" x14ac:dyDescent="0.3">
      <c r="A95" s="1"/>
      <c r="B95" s="1" t="s">
        <v>347</v>
      </c>
      <c r="C95" s="2">
        <v>0</v>
      </c>
      <c r="D95" s="1"/>
      <c r="E95" s="2"/>
    </row>
    <row r="96" spans="1:5" x14ac:dyDescent="0.3">
      <c r="A96" s="1"/>
      <c r="B96" s="1" t="s">
        <v>346</v>
      </c>
      <c r="C96" s="2">
        <v>0</v>
      </c>
      <c r="D96" s="1"/>
      <c r="E96" s="2"/>
    </row>
    <row r="97" spans="1:5" x14ac:dyDescent="0.3">
      <c r="A97" s="1"/>
      <c r="B97" s="1" t="s">
        <v>345</v>
      </c>
      <c r="C97" s="2">
        <v>0</v>
      </c>
      <c r="D97" s="1"/>
      <c r="E97" s="2"/>
    </row>
    <row r="98" spans="1:5" x14ac:dyDescent="0.3">
      <c r="A98" s="1"/>
      <c r="B98" s="1" t="s">
        <v>344</v>
      </c>
      <c r="C98" s="2">
        <v>0</v>
      </c>
      <c r="D98" s="1"/>
      <c r="E98" s="2"/>
    </row>
    <row r="99" spans="1:5" x14ac:dyDescent="0.3">
      <c r="A99" s="1"/>
      <c r="B99" s="1" t="s">
        <v>343</v>
      </c>
      <c r="C99" s="2">
        <v>0</v>
      </c>
      <c r="D99" s="1"/>
      <c r="E99" s="2"/>
    </row>
    <row r="100" spans="1:5" x14ac:dyDescent="0.3">
      <c r="A100" s="1"/>
      <c r="B100" s="1" t="s">
        <v>98</v>
      </c>
      <c r="C100" s="2"/>
      <c r="D100" s="1"/>
      <c r="E100" s="2">
        <v>6452.89</v>
      </c>
    </row>
    <row r="101" spans="1:5" x14ac:dyDescent="0.3">
      <c r="A101" s="1"/>
      <c r="B101" s="1" t="s">
        <v>342</v>
      </c>
      <c r="C101" s="2">
        <v>0</v>
      </c>
      <c r="D101" s="1"/>
      <c r="E101" s="2"/>
    </row>
    <row r="102" spans="1:5" x14ac:dyDescent="0.3">
      <c r="A102" s="1"/>
      <c r="B102" s="1" t="s">
        <v>126</v>
      </c>
      <c r="C102" s="2">
        <v>0</v>
      </c>
      <c r="D102" s="1"/>
      <c r="E102" s="2"/>
    </row>
    <row r="103" spans="1:5" x14ac:dyDescent="0.3">
      <c r="A103" s="1"/>
      <c r="B103" s="1" t="s">
        <v>341</v>
      </c>
      <c r="C103" s="2">
        <v>0</v>
      </c>
      <c r="D103" s="1"/>
      <c r="E103" s="2"/>
    </row>
    <row r="104" spans="1:5" x14ac:dyDescent="0.3">
      <c r="A104" s="1"/>
      <c r="B104" s="1" t="s">
        <v>99</v>
      </c>
      <c r="C104" s="2"/>
      <c r="D104" s="1"/>
      <c r="E104" s="2">
        <v>3432.32</v>
      </c>
    </row>
    <row r="105" spans="1:5" x14ac:dyDescent="0.3">
      <c r="A105" s="1"/>
      <c r="B105" s="1" t="s">
        <v>340</v>
      </c>
      <c r="C105" s="2">
        <v>0</v>
      </c>
      <c r="D105" s="1"/>
      <c r="E105" s="2"/>
    </row>
    <row r="106" spans="1:5" x14ac:dyDescent="0.3">
      <c r="A106" s="1"/>
      <c r="B106" s="1" t="s">
        <v>339</v>
      </c>
      <c r="C106" s="2">
        <v>0</v>
      </c>
      <c r="D106" s="1"/>
      <c r="E106" s="2"/>
    </row>
    <row r="107" spans="1:5" x14ac:dyDescent="0.3">
      <c r="A107" s="1"/>
      <c r="B107" s="1" t="s">
        <v>338</v>
      </c>
      <c r="C107" s="2">
        <v>0</v>
      </c>
      <c r="D107" s="1"/>
      <c r="E107" s="2"/>
    </row>
    <row r="108" spans="1:5" x14ac:dyDescent="0.3">
      <c r="A108" s="1"/>
      <c r="B108" s="1" t="s">
        <v>337</v>
      </c>
      <c r="C108" s="2">
        <v>0</v>
      </c>
      <c r="D108" s="1"/>
      <c r="E108" s="2"/>
    </row>
    <row r="109" spans="1:5" x14ac:dyDescent="0.3">
      <c r="A109" s="1"/>
      <c r="B109" s="1" t="s">
        <v>336</v>
      </c>
      <c r="C109" s="2">
        <v>0</v>
      </c>
      <c r="D109" s="1"/>
      <c r="E109" s="2"/>
    </row>
    <row r="110" spans="1:5" x14ac:dyDescent="0.3">
      <c r="A110" s="1"/>
      <c r="B110" s="1" t="s">
        <v>335</v>
      </c>
      <c r="C110" s="2">
        <v>0</v>
      </c>
      <c r="D110" s="1"/>
      <c r="E110" s="2"/>
    </row>
    <row r="111" spans="1:5" x14ac:dyDescent="0.3">
      <c r="A111" s="1"/>
      <c r="B111" s="1" t="s">
        <v>334</v>
      </c>
      <c r="C111" s="2">
        <v>0</v>
      </c>
      <c r="D111" s="1"/>
      <c r="E111" s="2"/>
    </row>
    <row r="112" spans="1:5" x14ac:dyDescent="0.3">
      <c r="A112" s="1"/>
      <c r="B112" s="1" t="s">
        <v>333</v>
      </c>
      <c r="C112" s="2">
        <v>0</v>
      </c>
      <c r="D112" s="1"/>
      <c r="E112" s="2"/>
    </row>
    <row r="113" spans="1:5" x14ac:dyDescent="0.3">
      <c r="A113" s="1"/>
      <c r="B113" s="1" t="s">
        <v>332</v>
      </c>
      <c r="C113" s="2">
        <v>0</v>
      </c>
      <c r="D113" s="1"/>
      <c r="E113" s="2"/>
    </row>
    <row r="114" spans="1:5" x14ac:dyDescent="0.3">
      <c r="A114" s="1"/>
      <c r="B114" s="1" t="s">
        <v>331</v>
      </c>
      <c r="C114" s="2">
        <v>0</v>
      </c>
      <c r="D114" s="1"/>
      <c r="E114" s="2"/>
    </row>
    <row r="115" spans="1:5" x14ac:dyDescent="0.3">
      <c r="A115" s="1"/>
      <c r="B115" s="1" t="s">
        <v>330</v>
      </c>
      <c r="C115" s="2">
        <v>0</v>
      </c>
      <c r="D115" s="1"/>
      <c r="E115" s="2"/>
    </row>
    <row r="116" spans="1:5" x14ac:dyDescent="0.3">
      <c r="A116" s="1"/>
      <c r="B116" s="1" t="s">
        <v>329</v>
      </c>
      <c r="C116" s="2">
        <v>0</v>
      </c>
      <c r="D116" s="1"/>
      <c r="E116" s="2"/>
    </row>
    <row r="117" spans="1:5" x14ac:dyDescent="0.3">
      <c r="A117" s="1"/>
      <c r="B117" s="1" t="s">
        <v>106</v>
      </c>
      <c r="C117" s="2"/>
      <c r="D117" s="1"/>
      <c r="E117" s="2">
        <v>495288.82</v>
      </c>
    </row>
    <row r="118" spans="1:5" x14ac:dyDescent="0.3">
      <c r="A118" s="1"/>
      <c r="B118" s="1" t="s">
        <v>328</v>
      </c>
      <c r="C118" s="2">
        <v>0</v>
      </c>
      <c r="D118" s="1"/>
      <c r="E118" s="2"/>
    </row>
    <row r="119" spans="1:5" x14ac:dyDescent="0.3">
      <c r="A119" s="1"/>
      <c r="B119" s="1" t="s">
        <v>327</v>
      </c>
      <c r="C119" s="2">
        <v>0</v>
      </c>
      <c r="D119" s="1"/>
      <c r="E119" s="2"/>
    </row>
    <row r="120" spans="1:5" x14ac:dyDescent="0.3">
      <c r="A120" s="1"/>
      <c r="B120" s="1" t="s">
        <v>326</v>
      </c>
      <c r="C120" s="2">
        <v>0</v>
      </c>
      <c r="D120" s="1"/>
      <c r="E120" s="2"/>
    </row>
    <row r="121" spans="1:5" x14ac:dyDescent="0.3">
      <c r="A121" s="1"/>
      <c r="B121" s="1" t="s">
        <v>107</v>
      </c>
      <c r="C121" s="2"/>
      <c r="D121" s="1"/>
      <c r="E121" s="2">
        <v>329440.34999999998</v>
      </c>
    </row>
    <row r="122" spans="1:5" x14ac:dyDescent="0.3">
      <c r="A122" s="1"/>
      <c r="B122" s="1" t="s">
        <v>325</v>
      </c>
      <c r="C122" s="2">
        <v>0</v>
      </c>
      <c r="D122" s="1"/>
      <c r="E122" s="2"/>
    </row>
    <row r="123" spans="1:5" x14ac:dyDescent="0.3">
      <c r="A123" s="1"/>
      <c r="B123" s="1" t="s">
        <v>324</v>
      </c>
      <c r="C123" s="2">
        <v>0</v>
      </c>
      <c r="D123" s="1"/>
      <c r="E123" s="2"/>
    </row>
    <row r="124" spans="1:5" x14ac:dyDescent="0.3">
      <c r="A124" s="1"/>
      <c r="B124" s="1" t="s">
        <v>323</v>
      </c>
      <c r="C124" s="2">
        <v>0</v>
      </c>
      <c r="D124" s="1"/>
      <c r="E124" s="2"/>
    </row>
    <row r="125" spans="1:5" x14ac:dyDescent="0.3">
      <c r="A125" s="1"/>
      <c r="B125" s="1" t="s">
        <v>322</v>
      </c>
      <c r="C125" s="2">
        <v>0</v>
      </c>
      <c r="D125" s="1"/>
      <c r="E125" s="2"/>
    </row>
    <row r="126" spans="1:5" x14ac:dyDescent="0.3">
      <c r="A126" s="1"/>
      <c r="B126" s="1" t="s">
        <v>321</v>
      </c>
      <c r="C126" s="2">
        <v>0</v>
      </c>
      <c r="D126" s="1"/>
      <c r="E126" s="2"/>
    </row>
    <row r="127" spans="1:5" x14ac:dyDescent="0.3">
      <c r="A127" s="1"/>
      <c r="B127" s="1" t="s">
        <v>320</v>
      </c>
      <c r="C127" s="2">
        <v>0</v>
      </c>
      <c r="D127" s="1"/>
      <c r="E127" s="2"/>
    </row>
    <row r="128" spans="1:5" x14ac:dyDescent="0.3">
      <c r="A128" s="1"/>
      <c r="B128" s="1" t="s">
        <v>114</v>
      </c>
      <c r="C128" s="2"/>
      <c r="D128" s="1"/>
      <c r="E128" s="2">
        <v>489295.1</v>
      </c>
    </row>
    <row r="129" spans="1:5" x14ac:dyDescent="0.3">
      <c r="A129" s="1"/>
      <c r="B129" s="1" t="s">
        <v>115</v>
      </c>
      <c r="C129" s="2"/>
      <c r="D129" s="1"/>
      <c r="E129" s="2">
        <v>495276.57</v>
      </c>
    </row>
    <row r="130" spans="1:5" x14ac:dyDescent="0.3">
      <c r="A130" s="1"/>
      <c r="B130" s="1" t="s">
        <v>116</v>
      </c>
      <c r="C130" s="2">
        <v>246436.73</v>
      </c>
      <c r="D130" s="1"/>
      <c r="E130" s="2"/>
    </row>
    <row r="131" spans="1:5" x14ac:dyDescent="0.3">
      <c r="A131" s="1"/>
      <c r="B131" s="1" t="s">
        <v>117</v>
      </c>
      <c r="C131" s="2">
        <v>71800.66</v>
      </c>
      <c r="D131" s="1"/>
      <c r="E131" s="2"/>
    </row>
    <row r="132" spans="1:5" x14ac:dyDescent="0.3">
      <c r="A132" s="1"/>
      <c r="B132" s="1" t="s">
        <v>119</v>
      </c>
      <c r="C132" s="2">
        <v>55045.9</v>
      </c>
      <c r="D132" s="1"/>
      <c r="E132" s="2"/>
    </row>
    <row r="133" spans="1:5" x14ac:dyDescent="0.3">
      <c r="A133" s="1"/>
      <c r="B133" s="1" t="s">
        <v>319</v>
      </c>
      <c r="C133" s="2">
        <v>0</v>
      </c>
      <c r="D133" s="1"/>
      <c r="E133" s="2"/>
    </row>
    <row r="134" spans="1:5" x14ac:dyDescent="0.3">
      <c r="A134" s="1"/>
      <c r="B134" s="1" t="s">
        <v>318</v>
      </c>
      <c r="C134" s="2">
        <v>0</v>
      </c>
      <c r="D134" s="1"/>
      <c r="E134" s="2"/>
    </row>
    <row r="135" spans="1:5" x14ac:dyDescent="0.3">
      <c r="A135" s="1"/>
      <c r="B135" s="1" t="s">
        <v>120</v>
      </c>
      <c r="C135" s="2"/>
      <c r="D135" s="1"/>
      <c r="E135" s="2">
        <v>442587.06</v>
      </c>
    </row>
    <row r="136" spans="1:5" x14ac:dyDescent="0.3">
      <c r="A136" s="1"/>
      <c r="B136" s="1" t="s">
        <v>298</v>
      </c>
      <c r="C136" s="2"/>
      <c r="D136" s="1"/>
      <c r="E136" s="2">
        <v>21409.4</v>
      </c>
    </row>
    <row r="137" spans="1:5" x14ac:dyDescent="0.3">
      <c r="A137" s="1"/>
      <c r="B137" s="1" t="s">
        <v>297</v>
      </c>
      <c r="C137" s="2"/>
      <c r="D137" s="1"/>
      <c r="E137" s="2">
        <v>4929.1499999999996</v>
      </c>
    </row>
    <row r="138" spans="1:5" x14ac:dyDescent="0.3">
      <c r="A138" s="1"/>
      <c r="B138" s="1" t="s">
        <v>296</v>
      </c>
      <c r="C138" s="2"/>
      <c r="D138" s="1"/>
      <c r="E138" s="2">
        <v>260005</v>
      </c>
    </row>
    <row r="139" spans="1:5" x14ac:dyDescent="0.3">
      <c r="A139" s="1"/>
      <c r="B139" s="1" t="s">
        <v>295</v>
      </c>
      <c r="C139" s="2"/>
      <c r="D139" s="1"/>
      <c r="E139" s="2">
        <v>3377353.47</v>
      </c>
    </row>
    <row r="140" spans="1:5" x14ac:dyDescent="0.3">
      <c r="A140" s="1"/>
      <c r="B140" s="1" t="s">
        <v>294</v>
      </c>
      <c r="C140" s="2"/>
      <c r="D140" s="1"/>
      <c r="E140" s="2">
        <v>25625.41</v>
      </c>
    </row>
    <row r="141" spans="1:5" x14ac:dyDescent="0.3">
      <c r="A141" s="1"/>
      <c r="B141" s="1" t="s">
        <v>293</v>
      </c>
      <c r="C141" s="2"/>
      <c r="D141" s="1"/>
      <c r="E141" s="2">
        <v>894958.61</v>
      </c>
    </row>
    <row r="142" spans="1:5" x14ac:dyDescent="0.3">
      <c r="A142" s="1"/>
      <c r="B142" s="1" t="s">
        <v>292</v>
      </c>
      <c r="C142" s="2"/>
      <c r="D142" s="1"/>
      <c r="E142" s="2">
        <v>963351.63</v>
      </c>
    </row>
    <row r="143" spans="1:5" x14ac:dyDescent="0.3">
      <c r="A143" s="1"/>
      <c r="B143" s="1" t="s">
        <v>291</v>
      </c>
      <c r="C143" s="2"/>
      <c r="D143" s="1"/>
      <c r="E143" s="2">
        <v>953</v>
      </c>
    </row>
    <row r="144" spans="1:5" x14ac:dyDescent="0.3">
      <c r="A144" s="1"/>
      <c r="B144" s="1" t="s">
        <v>290</v>
      </c>
      <c r="C144" s="2">
        <v>25075</v>
      </c>
      <c r="D144" s="1"/>
      <c r="E144" s="2"/>
    </row>
    <row r="145" spans="1:5" x14ac:dyDescent="0.3">
      <c r="A145" s="1"/>
      <c r="B145" s="1" t="s">
        <v>289</v>
      </c>
      <c r="C145" s="2">
        <v>33475.620000000003</v>
      </c>
      <c r="D145" s="1"/>
      <c r="E145" s="2"/>
    </row>
    <row r="146" spans="1:5" x14ac:dyDescent="0.3">
      <c r="A146" s="1"/>
      <c r="B146" s="1" t="s">
        <v>286</v>
      </c>
      <c r="C146" s="2"/>
      <c r="D146" s="1"/>
      <c r="E146" s="2">
        <v>1163967.1499999999</v>
      </c>
    </row>
    <row r="147" spans="1:5" x14ac:dyDescent="0.3">
      <c r="A147" s="1"/>
      <c r="B147" s="1" t="s">
        <v>285</v>
      </c>
      <c r="C147" s="2"/>
      <c r="D147" s="1"/>
      <c r="E147" s="2">
        <v>49041.82</v>
      </c>
    </row>
    <row r="148" spans="1:5" x14ac:dyDescent="0.3">
      <c r="A148" s="1"/>
      <c r="B148" s="1" t="s">
        <v>277</v>
      </c>
      <c r="C148" s="2">
        <v>111681.64</v>
      </c>
      <c r="D148" s="1"/>
      <c r="E148" s="2"/>
    </row>
    <row r="149" spans="1:5" x14ac:dyDescent="0.3">
      <c r="A149" s="1"/>
      <c r="B149" s="1" t="s">
        <v>276</v>
      </c>
      <c r="C149" s="2">
        <v>25888.44</v>
      </c>
      <c r="D149" s="1"/>
      <c r="E149" s="2"/>
    </row>
    <row r="150" spans="1:5" x14ac:dyDescent="0.3">
      <c r="A150" s="1"/>
      <c r="B150" s="1" t="s">
        <v>275</v>
      </c>
      <c r="C150" s="2">
        <v>83301.600000000006</v>
      </c>
      <c r="D150" s="1"/>
      <c r="E150" s="2"/>
    </row>
    <row r="151" spans="1:5" x14ac:dyDescent="0.3">
      <c r="A151" s="1"/>
      <c r="B151" s="1" t="s">
        <v>274</v>
      </c>
      <c r="C151" s="2">
        <v>177525.6</v>
      </c>
      <c r="D151" s="1"/>
      <c r="E151" s="2"/>
    </row>
    <row r="152" spans="1:5" x14ac:dyDescent="0.3">
      <c r="A152" s="1"/>
      <c r="B152" s="1" t="s">
        <v>273</v>
      </c>
      <c r="C152" s="2">
        <v>1179907.92</v>
      </c>
      <c r="D152" s="1"/>
      <c r="E152" s="2"/>
    </row>
    <row r="153" spans="1:5" x14ac:dyDescent="0.3">
      <c r="A153" s="1"/>
      <c r="B153" s="1" t="s">
        <v>272</v>
      </c>
      <c r="C153" s="2">
        <v>18045.64</v>
      </c>
      <c r="D153" s="1"/>
      <c r="E153" s="2"/>
    </row>
    <row r="154" spans="1:5" x14ac:dyDescent="0.3">
      <c r="A154" s="1"/>
      <c r="B154" s="1" t="s">
        <v>271</v>
      </c>
      <c r="C154" s="2">
        <v>14692.59</v>
      </c>
      <c r="D154" s="1"/>
      <c r="E154" s="2"/>
    </row>
    <row r="155" spans="1:5" x14ac:dyDescent="0.3">
      <c r="A155" s="1"/>
      <c r="B155" s="1" t="s">
        <v>269</v>
      </c>
      <c r="C155" s="2">
        <v>0</v>
      </c>
      <c r="D155" s="1"/>
      <c r="E155" s="2"/>
    </row>
    <row r="156" spans="1:5" x14ac:dyDescent="0.3">
      <c r="A156" s="1"/>
      <c r="B156" s="1" t="s">
        <v>268</v>
      </c>
      <c r="C156" s="2">
        <v>785.06</v>
      </c>
      <c r="D156" s="1"/>
      <c r="E156" s="2"/>
    </row>
    <row r="157" spans="1:5" x14ac:dyDescent="0.3">
      <c r="A157" s="1"/>
      <c r="B157" s="1" t="s">
        <v>267</v>
      </c>
      <c r="C157" s="2">
        <v>144439.18</v>
      </c>
      <c r="D157" s="1"/>
      <c r="E157" s="2"/>
    </row>
    <row r="158" spans="1:5" x14ac:dyDescent="0.3">
      <c r="A158" s="1"/>
      <c r="B158" s="1" t="s">
        <v>266</v>
      </c>
      <c r="C158" s="2">
        <v>33558.379999999997</v>
      </c>
      <c r="D158" s="1"/>
      <c r="E158" s="2"/>
    </row>
    <row r="159" spans="1:5" x14ac:dyDescent="0.3">
      <c r="A159" s="1"/>
      <c r="B159" s="1" t="s">
        <v>265</v>
      </c>
      <c r="C159" s="2">
        <v>67900.75</v>
      </c>
      <c r="D159" s="1"/>
      <c r="E159" s="2"/>
    </row>
    <row r="160" spans="1:5" x14ac:dyDescent="0.3">
      <c r="A160" s="1"/>
      <c r="B160" s="1" t="s">
        <v>264</v>
      </c>
      <c r="C160" s="2">
        <v>113100.65</v>
      </c>
      <c r="D160" s="1"/>
      <c r="E160" s="2"/>
    </row>
    <row r="161" spans="1:5" x14ac:dyDescent="0.3">
      <c r="A161" s="1"/>
      <c r="B161" s="1" t="s">
        <v>263</v>
      </c>
      <c r="C161" s="2">
        <v>235343.82</v>
      </c>
      <c r="D161" s="1"/>
      <c r="E161" s="2"/>
    </row>
    <row r="162" spans="1:5" x14ac:dyDescent="0.3">
      <c r="A162" s="1"/>
      <c r="B162" s="1" t="s">
        <v>262</v>
      </c>
      <c r="C162" s="2">
        <v>60</v>
      </c>
      <c r="D162" s="1"/>
      <c r="E162" s="2"/>
    </row>
    <row r="163" spans="1:5" x14ac:dyDescent="0.3">
      <c r="A163" s="1"/>
      <c r="B163" s="1" t="s">
        <v>261</v>
      </c>
      <c r="C163" s="2">
        <v>43857.91</v>
      </c>
      <c r="D163" s="1"/>
      <c r="E163" s="2"/>
    </row>
    <row r="164" spans="1:5" x14ac:dyDescent="0.3">
      <c r="A164" s="1"/>
      <c r="B164" s="1" t="s">
        <v>258</v>
      </c>
      <c r="C164" s="2">
        <v>1591.76</v>
      </c>
      <c r="D164" s="1"/>
      <c r="E164" s="2"/>
    </row>
    <row r="165" spans="1:5" x14ac:dyDescent="0.3">
      <c r="A165" s="1"/>
      <c r="B165" s="1" t="s">
        <v>257</v>
      </c>
      <c r="C165" s="2">
        <v>1160041.1000000001</v>
      </c>
      <c r="D165" s="1"/>
      <c r="E165" s="2"/>
    </row>
    <row r="166" spans="1:5" x14ac:dyDescent="0.3">
      <c r="A166" s="1"/>
      <c r="B166" s="1" t="s">
        <v>256</v>
      </c>
      <c r="C166" s="2">
        <v>252.2</v>
      </c>
      <c r="D166" s="1"/>
      <c r="E166" s="2"/>
    </row>
    <row r="167" spans="1:5" x14ac:dyDescent="0.3">
      <c r="A167" s="1"/>
      <c r="B167" s="1" t="s">
        <v>249</v>
      </c>
      <c r="C167" s="2">
        <v>0</v>
      </c>
      <c r="D167" s="1"/>
      <c r="E167" s="2"/>
    </row>
    <row r="168" spans="1:5" x14ac:dyDescent="0.3">
      <c r="A168" s="1"/>
      <c r="B168" s="1" t="s">
        <v>248</v>
      </c>
      <c r="C168" s="2">
        <v>1504.93</v>
      </c>
      <c r="D168" s="1"/>
      <c r="E168" s="2"/>
    </row>
    <row r="169" spans="1:5" x14ac:dyDescent="0.3">
      <c r="A169" s="1"/>
      <c r="B169" s="1" t="s">
        <v>247</v>
      </c>
      <c r="C169" s="2">
        <v>21864.34</v>
      </c>
      <c r="D169" s="1"/>
      <c r="E169" s="2"/>
    </row>
    <row r="170" spans="1:5" x14ac:dyDescent="0.3">
      <c r="A170" s="1"/>
      <c r="B170" s="1" t="s">
        <v>246</v>
      </c>
      <c r="C170" s="2">
        <v>1803.54</v>
      </c>
      <c r="D170" s="1"/>
      <c r="E170" s="2"/>
    </row>
    <row r="171" spans="1:5" x14ac:dyDescent="0.3">
      <c r="A171" s="1"/>
      <c r="B171" s="1" t="s">
        <v>245</v>
      </c>
      <c r="C171" s="2">
        <v>17615.95</v>
      </c>
      <c r="D171" s="1"/>
      <c r="E171" s="2"/>
    </row>
    <row r="172" spans="1:5" x14ac:dyDescent="0.3">
      <c r="A172" s="1"/>
      <c r="B172" s="1" t="s">
        <v>244</v>
      </c>
      <c r="C172" s="2">
        <v>4487.6899999999996</v>
      </c>
      <c r="D172" s="1"/>
      <c r="E172" s="2"/>
    </row>
    <row r="173" spans="1:5" x14ac:dyDescent="0.3">
      <c r="A173" s="1"/>
      <c r="B173" s="1" t="s">
        <v>241</v>
      </c>
      <c r="C173" s="2">
        <v>34635.949999999997</v>
      </c>
      <c r="D173" s="1"/>
      <c r="E173" s="2"/>
    </row>
    <row r="174" spans="1:5" x14ac:dyDescent="0.3">
      <c r="A174" s="1"/>
      <c r="B174" s="1" t="s">
        <v>240</v>
      </c>
      <c r="C174" s="2">
        <v>72374.31</v>
      </c>
      <c r="D174" s="1"/>
      <c r="E174" s="2"/>
    </row>
    <row r="175" spans="1:5" x14ac:dyDescent="0.3">
      <c r="A175" s="1"/>
      <c r="B175" s="1" t="s">
        <v>239</v>
      </c>
      <c r="C175" s="2">
        <v>52122.29</v>
      </c>
      <c r="D175" s="1"/>
      <c r="E175" s="2"/>
    </row>
    <row r="176" spans="1:5" x14ac:dyDescent="0.3">
      <c r="A176" s="1"/>
      <c r="B176" s="1" t="s">
        <v>238</v>
      </c>
      <c r="C176" s="2">
        <v>1526.4</v>
      </c>
      <c r="D176" s="1"/>
      <c r="E176" s="2"/>
    </row>
    <row r="177" spans="1:5" x14ac:dyDescent="0.3">
      <c r="A177" s="1"/>
      <c r="B177" s="1" t="s">
        <v>237</v>
      </c>
      <c r="C177" s="2">
        <v>976.51</v>
      </c>
      <c r="D177" s="1"/>
      <c r="E177" s="2"/>
    </row>
    <row r="178" spans="1:5" x14ac:dyDescent="0.3">
      <c r="A178" s="1"/>
      <c r="B178" s="1" t="s">
        <v>236</v>
      </c>
      <c r="C178" s="2">
        <v>6857.72</v>
      </c>
      <c r="D178" s="1"/>
      <c r="E178" s="2"/>
    </row>
    <row r="179" spans="1:5" x14ac:dyDescent="0.3">
      <c r="A179" s="1"/>
      <c r="B179" s="1" t="s">
        <v>235</v>
      </c>
      <c r="C179" s="2">
        <v>13230.29</v>
      </c>
      <c r="D179" s="1"/>
      <c r="E179" s="2"/>
    </row>
    <row r="180" spans="1:5" x14ac:dyDescent="0.3">
      <c r="A180" s="1"/>
      <c r="B180" s="1" t="s">
        <v>234</v>
      </c>
      <c r="C180" s="2">
        <v>10786.64</v>
      </c>
      <c r="D180" s="1"/>
      <c r="E180" s="2"/>
    </row>
    <row r="181" spans="1:5" x14ac:dyDescent="0.3">
      <c r="A181" s="1"/>
      <c r="B181" s="1" t="s">
        <v>233</v>
      </c>
      <c r="C181" s="2">
        <v>5218.08</v>
      </c>
      <c r="D181" s="1"/>
      <c r="E181" s="2"/>
    </row>
    <row r="182" spans="1:5" x14ac:dyDescent="0.3">
      <c r="A182" s="1"/>
      <c r="B182" s="1" t="s">
        <v>232</v>
      </c>
      <c r="C182" s="2">
        <v>8993.66</v>
      </c>
      <c r="D182" s="1"/>
      <c r="E182" s="2"/>
    </row>
    <row r="183" spans="1:5" x14ac:dyDescent="0.3">
      <c r="A183" s="1"/>
      <c r="B183" s="1" t="s">
        <v>226</v>
      </c>
      <c r="C183" s="2">
        <v>23756.46</v>
      </c>
      <c r="D183" s="1"/>
      <c r="E183" s="2"/>
    </row>
    <row r="184" spans="1:5" x14ac:dyDescent="0.3">
      <c r="A184" s="1"/>
      <c r="B184" s="1" t="s">
        <v>225</v>
      </c>
      <c r="C184" s="2">
        <v>72760.37</v>
      </c>
      <c r="D184" s="1"/>
      <c r="E184" s="2"/>
    </row>
    <row r="185" spans="1:5" x14ac:dyDescent="0.3">
      <c r="A185" s="1"/>
      <c r="B185" s="1" t="s">
        <v>224</v>
      </c>
      <c r="C185" s="2">
        <v>12448.68</v>
      </c>
      <c r="D185" s="1"/>
      <c r="E185" s="2"/>
    </row>
    <row r="186" spans="1:5" x14ac:dyDescent="0.3">
      <c r="A186" s="1"/>
      <c r="B186" s="1" t="s">
        <v>223</v>
      </c>
      <c r="C186" s="2">
        <v>8970.64</v>
      </c>
      <c r="D186" s="1"/>
      <c r="E186" s="2"/>
    </row>
    <row r="187" spans="1:5" x14ac:dyDescent="0.3">
      <c r="A187" s="1"/>
      <c r="B187" s="1" t="s">
        <v>222</v>
      </c>
      <c r="C187" s="2">
        <v>66957.149999999994</v>
      </c>
      <c r="D187" s="1"/>
      <c r="E187" s="2"/>
    </row>
    <row r="188" spans="1:5" x14ac:dyDescent="0.3">
      <c r="A188" s="1"/>
      <c r="B188" s="1" t="s">
        <v>220</v>
      </c>
      <c r="C188" s="2">
        <v>25602.93</v>
      </c>
      <c r="D188" s="1"/>
      <c r="E188" s="2"/>
    </row>
    <row r="189" spans="1:5" x14ac:dyDescent="0.3">
      <c r="A189" s="1"/>
      <c r="B189" s="1" t="s">
        <v>219</v>
      </c>
      <c r="C189" s="2">
        <v>46532.959999999999</v>
      </c>
      <c r="D189" s="1"/>
      <c r="E189" s="2"/>
    </row>
    <row r="190" spans="1:5" x14ac:dyDescent="0.3">
      <c r="A190" s="1"/>
      <c r="B190" s="1" t="s">
        <v>218</v>
      </c>
      <c r="C190" s="2">
        <v>4035.19</v>
      </c>
      <c r="D190" s="1"/>
      <c r="E190" s="2"/>
    </row>
    <row r="191" spans="1:5" x14ac:dyDescent="0.3">
      <c r="A191" s="1"/>
      <c r="B191" s="1" t="s">
        <v>217</v>
      </c>
      <c r="C191" s="2">
        <v>11237.08</v>
      </c>
      <c r="D191" s="1"/>
      <c r="E191" s="2"/>
    </row>
    <row r="192" spans="1:5" x14ac:dyDescent="0.3">
      <c r="A192" s="1"/>
      <c r="B192" s="1" t="s">
        <v>216</v>
      </c>
      <c r="C192" s="2">
        <v>8188.09</v>
      </c>
      <c r="D192" s="1"/>
      <c r="E192" s="2"/>
    </row>
    <row r="193" spans="1:5" x14ac:dyDescent="0.3">
      <c r="A193" s="1"/>
      <c r="B193" s="1" t="s">
        <v>213</v>
      </c>
      <c r="C193" s="2">
        <v>8318.36</v>
      </c>
      <c r="D193" s="1"/>
      <c r="E193" s="2"/>
    </row>
    <row r="194" spans="1:5" x14ac:dyDescent="0.3">
      <c r="A194" s="1"/>
      <c r="B194" s="1" t="s">
        <v>212</v>
      </c>
      <c r="C194" s="2">
        <v>150</v>
      </c>
      <c r="D194" s="1"/>
      <c r="E194" s="2"/>
    </row>
    <row r="195" spans="1:5" x14ac:dyDescent="0.3">
      <c r="A195" s="1"/>
      <c r="B195" s="1" t="s">
        <v>211</v>
      </c>
      <c r="C195" s="2">
        <v>37500</v>
      </c>
      <c r="D195" s="1"/>
      <c r="E195" s="2"/>
    </row>
    <row r="196" spans="1:5" x14ac:dyDescent="0.3">
      <c r="A196" s="1"/>
      <c r="B196" s="1" t="s">
        <v>209</v>
      </c>
      <c r="C196" s="2">
        <v>101.6</v>
      </c>
      <c r="D196" s="1"/>
      <c r="E196" s="2"/>
    </row>
    <row r="197" spans="1:5" x14ac:dyDescent="0.3">
      <c r="A197" s="1"/>
      <c r="B197" s="1" t="s">
        <v>208</v>
      </c>
      <c r="C197" s="2">
        <v>11791.6</v>
      </c>
      <c r="D197" s="1"/>
      <c r="E197" s="2"/>
    </row>
    <row r="198" spans="1:5" x14ac:dyDescent="0.3">
      <c r="A198" s="1"/>
      <c r="B198" s="1" t="s">
        <v>207</v>
      </c>
      <c r="C198" s="2">
        <v>132300.9</v>
      </c>
      <c r="D198" s="1"/>
      <c r="E198" s="2"/>
    </row>
    <row r="199" spans="1:5" x14ac:dyDescent="0.3">
      <c r="A199" s="1"/>
      <c r="B199" s="1" t="s">
        <v>206</v>
      </c>
      <c r="C199" s="2">
        <v>19647.900000000001</v>
      </c>
      <c r="D199" s="1"/>
      <c r="E199" s="2"/>
    </row>
    <row r="200" spans="1:5" x14ac:dyDescent="0.3">
      <c r="A200" s="1"/>
      <c r="B200" s="1" t="s">
        <v>204</v>
      </c>
      <c r="C200" s="2">
        <v>175.42</v>
      </c>
      <c r="D200" s="1"/>
      <c r="E200" s="2"/>
    </row>
    <row r="201" spans="1:5" x14ac:dyDescent="0.3">
      <c r="A201" s="1"/>
      <c r="B201" s="1" t="s">
        <v>203</v>
      </c>
      <c r="C201" s="2">
        <v>61448.34</v>
      </c>
      <c r="D201" s="1"/>
      <c r="E201" s="2"/>
    </row>
    <row r="202" spans="1:5" x14ac:dyDescent="0.3">
      <c r="A202" s="1"/>
      <c r="B202" s="1" t="s">
        <v>197</v>
      </c>
      <c r="C202" s="2">
        <v>161470.46</v>
      </c>
      <c r="D202" s="1"/>
      <c r="E202" s="2"/>
    </row>
    <row r="203" spans="1:5" x14ac:dyDescent="0.3">
      <c r="A203" s="1"/>
      <c r="B203" s="1" t="s">
        <v>196</v>
      </c>
      <c r="C203" s="2">
        <v>211560.81</v>
      </c>
      <c r="D203" s="1"/>
      <c r="E203" s="2"/>
    </row>
    <row r="204" spans="1:5" x14ac:dyDescent="0.3">
      <c r="A204" s="1"/>
      <c r="B204" s="1" t="s">
        <v>195</v>
      </c>
      <c r="C204" s="2">
        <v>189805.69</v>
      </c>
      <c r="D204" s="1"/>
      <c r="E204" s="2"/>
    </row>
    <row r="205" spans="1:5" x14ac:dyDescent="0.3">
      <c r="A205" s="1"/>
      <c r="B205" s="1" t="s">
        <v>194</v>
      </c>
      <c r="C205" s="2">
        <v>304482.15000000002</v>
      </c>
      <c r="D205" s="1"/>
      <c r="E205" s="2"/>
    </row>
    <row r="206" spans="1:5" x14ac:dyDescent="0.3">
      <c r="A206" s="1"/>
      <c r="B206" s="1" t="s">
        <v>193</v>
      </c>
      <c r="C206" s="2">
        <v>3600</v>
      </c>
      <c r="D206" s="1"/>
      <c r="E206" s="2"/>
    </row>
    <row r="207" spans="1:5" x14ac:dyDescent="0.3">
      <c r="A207" s="1"/>
      <c r="B207" s="1" t="s">
        <v>191</v>
      </c>
      <c r="C207" s="2">
        <v>184479.32</v>
      </c>
      <c r="D207" s="1"/>
      <c r="E207" s="2"/>
    </row>
    <row r="208" spans="1:5" x14ac:dyDescent="0.3">
      <c r="A208" s="1"/>
      <c r="B208" s="1" t="s">
        <v>190</v>
      </c>
      <c r="C208" s="2">
        <v>73125</v>
      </c>
      <c r="D208" s="1"/>
      <c r="E208" s="2"/>
    </row>
    <row r="209" spans="1:5" x14ac:dyDescent="0.3">
      <c r="A209" s="1"/>
      <c r="B209" s="1" t="s">
        <v>189</v>
      </c>
      <c r="C209" s="2">
        <v>197.33</v>
      </c>
      <c r="D209" s="1"/>
      <c r="E209" s="2"/>
    </row>
    <row r="210" spans="1:5" x14ac:dyDescent="0.3">
      <c r="A210" s="1"/>
      <c r="B210" s="1" t="s">
        <v>187</v>
      </c>
      <c r="C210" s="2">
        <v>2356.69</v>
      </c>
      <c r="D210" s="1"/>
      <c r="E210" s="2"/>
    </row>
    <row r="211" spans="1:5" x14ac:dyDescent="0.3">
      <c r="A211" s="1"/>
      <c r="B211" s="1" t="s">
        <v>186</v>
      </c>
      <c r="C211" s="2">
        <v>277211.53000000003</v>
      </c>
      <c r="D211" s="1"/>
      <c r="E211" s="2"/>
    </row>
    <row r="212" spans="1:5" x14ac:dyDescent="0.3">
      <c r="A212" s="1"/>
      <c r="B212" s="1" t="s">
        <v>185</v>
      </c>
      <c r="C212" s="2">
        <v>7826.07</v>
      </c>
      <c r="D212" s="1"/>
      <c r="E212" s="2"/>
    </row>
    <row r="213" spans="1:5" x14ac:dyDescent="0.3">
      <c r="A213" s="1"/>
      <c r="B213" s="1" t="s">
        <v>184</v>
      </c>
      <c r="C213" s="2">
        <v>3840.64</v>
      </c>
      <c r="D213" s="1"/>
      <c r="E213" s="2"/>
    </row>
    <row r="214" spans="1:5" x14ac:dyDescent="0.3">
      <c r="A214" s="1"/>
      <c r="B214" s="1" t="s">
        <v>183</v>
      </c>
      <c r="C214" s="2">
        <v>13592.74</v>
      </c>
      <c r="D214" s="1"/>
      <c r="E214" s="2"/>
    </row>
    <row r="215" spans="1:5" x14ac:dyDescent="0.3">
      <c r="A215" s="1"/>
      <c r="B215" s="1" t="s">
        <v>182</v>
      </c>
      <c r="C215" s="2">
        <v>74743.3</v>
      </c>
      <c r="D215" s="1"/>
      <c r="E215" s="2"/>
    </row>
    <row r="216" spans="1:5" x14ac:dyDescent="0.3">
      <c r="A216" s="1"/>
      <c r="B216" s="1" t="s">
        <v>181</v>
      </c>
      <c r="C216" s="2">
        <v>25856.06</v>
      </c>
      <c r="D216" s="1"/>
      <c r="E216" s="2"/>
    </row>
    <row r="217" spans="1:5" x14ac:dyDescent="0.3">
      <c r="A217" s="1"/>
      <c r="B217" s="1" t="s">
        <v>180</v>
      </c>
      <c r="C217" s="2">
        <v>9863.2999999999993</v>
      </c>
      <c r="D217" s="1"/>
      <c r="E217" s="2"/>
    </row>
    <row r="218" spans="1:5" x14ac:dyDescent="0.3">
      <c r="A218" s="1"/>
      <c r="B218" s="1" t="s">
        <v>179</v>
      </c>
      <c r="C218" s="2">
        <v>24313.54</v>
      </c>
      <c r="D218" s="1"/>
      <c r="E218" s="2"/>
    </row>
    <row r="219" spans="1:5" x14ac:dyDescent="0.3">
      <c r="A219" s="1"/>
      <c r="B219" s="1" t="s">
        <v>178</v>
      </c>
      <c r="C219" s="2">
        <v>5081.2700000000004</v>
      </c>
      <c r="D219" s="1"/>
      <c r="E219" s="2"/>
    </row>
    <row r="220" spans="1:5" x14ac:dyDescent="0.3">
      <c r="A220" s="1"/>
      <c r="B220" s="1" t="s">
        <v>177</v>
      </c>
      <c r="C220" s="2">
        <v>33163.82</v>
      </c>
      <c r="D220" s="1"/>
      <c r="E220" s="2"/>
    </row>
    <row r="221" spans="1:5" x14ac:dyDescent="0.3">
      <c r="A221" s="1"/>
      <c r="B221" s="1" t="s">
        <v>174</v>
      </c>
      <c r="C221" s="2">
        <v>5339.57</v>
      </c>
      <c r="D221" s="1"/>
      <c r="E221" s="2"/>
    </row>
    <row r="222" spans="1:5" x14ac:dyDescent="0.3">
      <c r="A222" s="1"/>
      <c r="B222" s="1" t="s">
        <v>172</v>
      </c>
      <c r="C222" s="2">
        <v>75</v>
      </c>
      <c r="D222" s="1"/>
      <c r="E222" s="2"/>
    </row>
    <row r="223" spans="1:5" x14ac:dyDescent="0.3">
      <c r="A223" s="1"/>
      <c r="B223" s="1" t="s">
        <v>171</v>
      </c>
      <c r="C223" s="2">
        <v>13627.68</v>
      </c>
      <c r="D223" s="1"/>
      <c r="E223" s="2"/>
    </row>
    <row r="224" spans="1:5" x14ac:dyDescent="0.3">
      <c r="A224" s="1"/>
      <c r="B224" s="1" t="s">
        <v>170</v>
      </c>
      <c r="C224" s="2">
        <v>37193.01</v>
      </c>
      <c r="D224" s="1"/>
      <c r="E224" s="2"/>
    </row>
    <row r="225" spans="1:5" x14ac:dyDescent="0.3">
      <c r="A225" s="1"/>
      <c r="B225" s="1" t="s">
        <v>169</v>
      </c>
      <c r="C225" s="2">
        <v>2757</v>
      </c>
      <c r="D225" s="1"/>
      <c r="E225" s="2"/>
    </row>
    <row r="226" spans="1:5" x14ac:dyDescent="0.3">
      <c r="A226" s="1"/>
      <c r="B226" s="1" t="s">
        <v>168</v>
      </c>
      <c r="C226" s="2">
        <v>15072.45</v>
      </c>
      <c r="D226" s="1"/>
      <c r="E226" s="2"/>
    </row>
    <row r="227" spans="1:5" x14ac:dyDescent="0.3">
      <c r="A227" s="1"/>
      <c r="B227" s="1" t="s">
        <v>167</v>
      </c>
      <c r="C227" s="2">
        <v>29453.38</v>
      </c>
      <c r="D227" s="1"/>
      <c r="E227" s="2"/>
    </row>
    <row r="228" spans="1:5" x14ac:dyDescent="0.3">
      <c r="A228" s="1"/>
      <c r="B228" s="1" t="s">
        <v>166</v>
      </c>
      <c r="C228" s="2">
        <v>20591.68</v>
      </c>
      <c r="D228" s="1"/>
      <c r="E228" s="2"/>
    </row>
    <row r="229" spans="1:5" x14ac:dyDescent="0.3">
      <c r="A229" s="1"/>
      <c r="B229" s="1" t="s">
        <v>165</v>
      </c>
      <c r="C229" s="2">
        <v>58547.24</v>
      </c>
      <c r="D229" s="1"/>
      <c r="E229" s="2"/>
    </row>
    <row r="230" spans="1:5" x14ac:dyDescent="0.3">
      <c r="A230" s="1"/>
      <c r="B230" s="1" t="s">
        <v>164</v>
      </c>
      <c r="C230" s="2">
        <v>3350.01</v>
      </c>
      <c r="D230" s="1"/>
      <c r="E230" s="2"/>
    </row>
    <row r="231" spans="1:5" x14ac:dyDescent="0.3">
      <c r="A231" s="1"/>
      <c r="B231" s="1" t="s">
        <v>161</v>
      </c>
      <c r="C231" s="2">
        <v>8780.2000000000007</v>
      </c>
      <c r="D231" s="1"/>
      <c r="E231" s="2"/>
    </row>
    <row r="232" spans="1:5" x14ac:dyDescent="0.3">
      <c r="A232" s="1"/>
      <c r="B232" s="1" t="s">
        <v>160</v>
      </c>
      <c r="C232" s="2">
        <v>42240.32</v>
      </c>
      <c r="D232" s="1"/>
      <c r="E232" s="2"/>
    </row>
    <row r="233" spans="1:5" x14ac:dyDescent="0.3">
      <c r="A233" s="1"/>
      <c r="B233" s="1" t="s">
        <v>158</v>
      </c>
      <c r="C233" s="2">
        <v>123564.36</v>
      </c>
      <c r="D233" s="1"/>
      <c r="E233" s="2"/>
    </row>
    <row r="234" spans="1:5" x14ac:dyDescent="0.3">
      <c r="A234" s="1"/>
      <c r="B234" s="1" t="s">
        <v>157</v>
      </c>
      <c r="C234" s="2">
        <v>116404.69</v>
      </c>
      <c r="D234" s="1"/>
      <c r="E234" s="2"/>
    </row>
    <row r="235" spans="1:5" x14ac:dyDescent="0.3">
      <c r="A235" s="1"/>
      <c r="B235" s="1" t="s">
        <v>156</v>
      </c>
      <c r="C235" s="2">
        <v>171202.69</v>
      </c>
      <c r="D235" s="1"/>
      <c r="E235" s="2"/>
    </row>
    <row r="236" spans="1:5" x14ac:dyDescent="0.3">
      <c r="A236" s="1"/>
      <c r="B236" s="1" t="s">
        <v>155</v>
      </c>
      <c r="C236" s="2">
        <v>3164.95</v>
      </c>
      <c r="D236" s="1"/>
      <c r="E236" s="2"/>
    </row>
    <row r="237" spans="1:5" x14ac:dyDescent="0.3">
      <c r="A237" s="1"/>
      <c r="B237" s="1" t="s">
        <v>154</v>
      </c>
      <c r="C237" s="2">
        <v>4000</v>
      </c>
      <c r="D237" s="1"/>
      <c r="E237" s="2"/>
    </row>
    <row r="238" spans="1:5" x14ac:dyDescent="0.3">
      <c r="A238" s="1"/>
      <c r="B238" s="1" t="s">
        <v>152</v>
      </c>
      <c r="C238" s="2">
        <v>8119.06</v>
      </c>
      <c r="D238" s="1"/>
      <c r="E238" s="2"/>
    </row>
    <row r="239" spans="1:5" x14ac:dyDescent="0.3">
      <c r="A239" s="1"/>
      <c r="B239" s="1" t="s">
        <v>151</v>
      </c>
      <c r="C239" s="2">
        <v>4123.63</v>
      </c>
      <c r="D239" s="1"/>
      <c r="E239" s="2"/>
    </row>
    <row r="240" spans="1:5" x14ac:dyDescent="0.3">
      <c r="A240" s="1"/>
      <c r="B240" s="1" t="s">
        <v>150</v>
      </c>
      <c r="C240" s="2">
        <v>3721.95</v>
      </c>
      <c r="D240" s="1"/>
      <c r="E240" s="2"/>
    </row>
    <row r="241" spans="1:5" x14ac:dyDescent="0.3">
      <c r="A241" s="1"/>
      <c r="B241" s="1" t="s">
        <v>149</v>
      </c>
      <c r="C241" s="2">
        <v>11991.02</v>
      </c>
      <c r="D241" s="1"/>
      <c r="E241" s="2"/>
    </row>
    <row r="242" spans="1:5" x14ac:dyDescent="0.3">
      <c r="A242" s="1"/>
      <c r="B242" s="1" t="s">
        <v>145</v>
      </c>
      <c r="C242" s="2"/>
      <c r="D242" s="1"/>
      <c r="E242" s="2">
        <v>15726.71</v>
      </c>
    </row>
    <row r="243" spans="1:5" x14ac:dyDescent="0.3">
      <c r="A243" s="1"/>
      <c r="B243" s="1" t="s">
        <v>138</v>
      </c>
      <c r="C243" s="2"/>
      <c r="D243" s="1"/>
      <c r="E243" s="2">
        <v>56.53</v>
      </c>
    </row>
    <row r="244" spans="1:5" x14ac:dyDescent="0.3">
      <c r="A244" s="1"/>
      <c r="B244" s="1" t="s">
        <v>137</v>
      </c>
      <c r="C244" s="2"/>
      <c r="D244" s="1"/>
      <c r="E244" s="2">
        <v>445.39</v>
      </c>
    </row>
    <row r="245" spans="1:5" x14ac:dyDescent="0.3">
      <c r="A245" s="1"/>
      <c r="B245" s="1" t="s">
        <v>133</v>
      </c>
      <c r="C245" s="2">
        <v>2365</v>
      </c>
      <c r="D245" s="1"/>
      <c r="E245" s="2"/>
    </row>
    <row r="246" spans="1:5" x14ac:dyDescent="0.3">
      <c r="A246" s="1"/>
      <c r="B246" s="1" t="s">
        <v>132</v>
      </c>
      <c r="C246" s="2">
        <v>6492.09</v>
      </c>
      <c r="D246" s="1"/>
      <c r="E246" s="2"/>
    </row>
    <row r="247" spans="1:5" ht="15" thickBot="1" x14ac:dyDescent="0.35">
      <c r="A247" s="1"/>
      <c r="B247" s="1" t="s">
        <v>131</v>
      </c>
      <c r="C247" s="2">
        <v>21581.93</v>
      </c>
      <c r="D247" s="1"/>
      <c r="E247" s="2"/>
    </row>
    <row r="248" spans="1:5" s="8" customFormat="1" thickBot="1" x14ac:dyDescent="0.35">
      <c r="A248" s="1" t="s">
        <v>317</v>
      </c>
      <c r="B248" s="1"/>
      <c r="C248" s="7">
        <f>ROUND(SUM(C3:C247),5)</f>
        <v>10273178.1</v>
      </c>
      <c r="D248" s="1"/>
      <c r="E248" s="7">
        <f>ROUND(SUM(E3:E247),5)</f>
        <v>10273178.1</v>
      </c>
    </row>
    <row r="249" spans="1:5" ht="15" thickTop="1" x14ac:dyDescent="0.3"/>
  </sheetData>
  <pageMargins left="0.7" right="0.7" top="0.75" bottom="0.75" header="0.1" footer="0.3"/>
  <pageSetup orientation="portrait" horizontalDpi="1200" verticalDpi="1200" r:id="rId1"/>
  <headerFooter>
    <oddHeader>&amp;L&amp;"Calibri,Regular"&amp;10 5:07 PM
&amp;"Calibri,Regular"&amp;10 05/14/26&amp;C&amp;"Calibri,Regular"&amp;12 Live Marketing, LLC
&amp;"Calibri,Regular"&amp;14 Trial Balance
&amp;"Calibri,Regular"&amp;10 As of December 31, 2025</oddHeader>
    <oddFooter>&amp;R&amp;"Calibri,Regular"&amp;10 Page &amp;P of &amp;N</oddFooter>
  </headerFooter>
  <drawing r:id="rId2"/>
  <legacyDrawing r:id="rId3"/>
  <controls>
    <mc:AlternateContent xmlns:mc="http://schemas.openxmlformats.org/markup-compatibility/2006">
      <mc:Choice Requires="x14">
        <control shapeId="7170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7170" r:id="rId4" name="HEADER"/>
      </mc:Fallback>
    </mc:AlternateContent>
    <mc:AlternateContent xmlns:mc="http://schemas.openxmlformats.org/markup-compatibility/2006">
      <mc:Choice Requires="x14">
        <control shapeId="7169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708660</xdr:colOff>
                <xdr:row>1</xdr:row>
                <xdr:rowOff>38100</xdr:rowOff>
              </to>
            </anchor>
          </controlPr>
        </control>
      </mc:Choice>
      <mc:Fallback>
        <control shapeId="7169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BS24</vt:lpstr>
      <vt:lpstr>PL24</vt:lpstr>
      <vt:lpstr>PL25</vt:lpstr>
      <vt:lpstr>BS25</vt:lpstr>
      <vt:lpstr>TB24</vt:lpstr>
      <vt:lpstr>TB25</vt:lpstr>
      <vt:lpstr>'BS24'!Print_Titles</vt:lpstr>
      <vt:lpstr>'BS25'!Print_Titles</vt:lpstr>
      <vt:lpstr>'PL24'!Print_Titles</vt:lpstr>
      <vt:lpstr>'PL25'!Print_Titles</vt:lpstr>
      <vt:lpstr>'TB24'!Print_Titles</vt:lpstr>
      <vt:lpstr>'TB25'!Print_Titles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Malriat</dc:creator>
  <cp:lastModifiedBy>Matthew Malriat</cp:lastModifiedBy>
  <dcterms:created xsi:type="dcterms:W3CDTF">2026-05-14T16:53:50Z</dcterms:created>
  <dcterms:modified xsi:type="dcterms:W3CDTF">2026-05-14T17:08:49Z</dcterms:modified>
</cp:coreProperties>
</file>