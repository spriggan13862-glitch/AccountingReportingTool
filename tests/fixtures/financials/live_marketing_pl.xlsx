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Projects\accounting_tool\tests\fixtures\financials\"/>
    </mc:Choice>
  </mc:AlternateContent>
  <xr:revisionPtr revIDLastSave="0" documentId="13_ncr:1_{FD3498B7-F943-4BDA-AB62-28EF5C04F6F0}" xr6:coauthVersionLast="47" xr6:coauthVersionMax="47" xr10:uidLastSave="{00000000-0000-0000-0000-000000000000}"/>
  <bookViews>
    <workbookView xWindow="2364" yWindow="3504" windowWidth="17280" windowHeight="8880" xr2:uid="{D368D230-5C3E-492E-BB7C-2E6F52378162}"/>
  </bookViews>
  <sheets>
    <sheet name="PL24" sheetId="5" r:id="rId1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'PL24'!$A:$H,'PL24'!$1:$1</definedName>
    <definedName name="QB_COLUMN_29" localSheetId="0" hidden="1">'PL24'!$I$1</definedName>
    <definedName name="QB_DATA_0" localSheetId="0" hidden="1">'PL24'!$5:$5,'PL24'!$6:$6,'PL24'!$7:$7,'PL24'!$8:$8,'PL24'!$9:$9,'PL24'!$10:$10,'PL24'!$11:$11,'PL24'!$12:$12,'PL24'!$13:$13,'PL24'!$15:$15,'PL24'!$16:$16,'PL24'!$18:$18,'PL24'!$24:$24,'PL24'!$25:$25,'PL24'!$26:$26,'PL24'!$27:$27</definedName>
    <definedName name="QB_DATA_1" localSheetId="0" hidden="1">'PL24'!$28:$28,'PL24'!$29:$29,'PL24'!$30:$30,'PL24'!$31:$31,'PL24'!$34:$34,'PL24'!$35:$35,'PL24'!$36:$36,'PL24'!$37:$37,'PL24'!$38:$38,'PL24'!$39:$39,'PL24'!$40:$40,'PL24'!$41:$41,'PL24'!$42:$42,'PL24'!$43:$43,'PL24'!$46:$46,'PL24'!$47:$47</definedName>
    <definedName name="QB_DATA_2" localSheetId="0" hidden="1">'PL24'!$48:$48,'PL24'!$49:$49,'PL24'!$50:$50,'PL24'!$57:$57,'PL24'!$59:$59,'PL24'!$60:$60,'PL24'!$61:$61,'PL24'!$62:$62,'PL24'!$64:$64,'PL24'!$65:$65,'PL24'!$66:$66,'PL24'!$67:$67,'PL24'!$69:$69,'PL24'!$70:$70,'PL24'!$71:$71,'PL24'!$72:$72</definedName>
    <definedName name="QB_DATA_3" localSheetId="0" hidden="1">'PL24'!$73:$73,'PL24'!$75:$75,'PL24'!$78:$78,'PL24'!$79:$79,'PL24'!$80:$80,'PL24'!$81:$81,'PL24'!$82:$82,'PL24'!$84:$84,'PL24'!$85:$85,'PL24'!$86:$86,'PL24'!$87:$87,'PL24'!$88:$88,'PL24'!$89:$89,'PL24'!$92:$92,'PL24'!$93:$93,'PL24'!$94:$94</definedName>
    <definedName name="QB_DATA_4" localSheetId="0" hidden="1">'PL24'!$97:$97,'PL24'!$98:$98,'PL24'!$99:$99,'PL24'!$101:$101,'PL24'!$102:$102,'PL24'!$104:$104,'PL24'!$108:$108,'PL24'!$109:$109,'PL24'!$110:$110,'PL24'!$111:$111,'PL24'!$112:$112,'PL24'!$114:$114,'PL24'!$115:$115,'PL24'!$117:$117,'PL24'!$118:$118,'PL24'!$119:$119</definedName>
    <definedName name="QB_DATA_5" localSheetId="0" hidden="1">'PL24'!$121:$121,'PL24'!$122:$122,'PL24'!$123:$123,'PL24'!$124:$124,'PL24'!$125:$125,'PL24'!$126:$126,'PL24'!$127:$127,'PL24'!$128:$128,'PL24'!$130:$130,'PL24'!$131:$131,'PL24'!$134:$134,'PL24'!$135:$135,'PL24'!$136:$136,'PL24'!$137:$137,'PL24'!$138:$138,'PL24'!$139:$139</definedName>
    <definedName name="QB_DATA_6" localSheetId="0" hidden="1">'PL24'!$140:$140,'PL24'!$141:$141,'PL24'!$142:$142,'PL24'!$143:$143,'PL24'!$145:$145,'PL24'!$146:$146,'PL24'!$147:$147,'PL24'!$148:$148,'PL24'!$150:$150,'PL24'!$151:$151,'PL24'!$152:$152,'PL24'!$153:$153,'PL24'!$156:$156,'PL24'!$157:$157,'PL24'!$159:$159,'PL24'!$165:$165</definedName>
    <definedName name="QB_DATA_7" localSheetId="0" hidden="1">'PL24'!$166:$166,'PL24'!$167:$167,'PL24'!$171:$171,'PL24'!$172:$172</definedName>
    <definedName name="QB_FORMULA_0" localSheetId="0" hidden="1">'PL24'!$I$17,'PL24'!$I$19,'PL24'!$I$20,'PL24'!$I$32,'PL24'!$I$44,'PL24'!$I$51,'PL24'!$I$52,'PL24'!$I$53,'PL24'!$I$54,'PL24'!$I$63,'PL24'!$I$74,'PL24'!$I$76,'PL24'!$I$90,'PL24'!$I$95,'PL24'!$I$103,'PL24'!$I$105</definedName>
    <definedName name="QB_FORMULA_1" localSheetId="0" hidden="1">'PL24'!$I$113,'PL24'!$I$116,'PL24'!$I$129,'PL24'!$I$132,'PL24'!$I$149,'PL24'!$I$154,'PL24'!$I$158,'PL24'!$I$160,'PL24'!$I$161,'PL24'!$I$168,'PL24'!$I$169,'PL24'!$I$173,'PL24'!$I$174,'PL24'!$I$175</definedName>
    <definedName name="QB_ROW_10250" localSheetId="0" hidden="1">'PL24'!$F$134</definedName>
    <definedName name="QB_ROW_105260" localSheetId="0" hidden="1">'PL24'!$G$48</definedName>
    <definedName name="QB_ROW_106060" localSheetId="0" hidden="1">'PL24'!$G$107</definedName>
    <definedName name="QB_ROW_106360" localSheetId="0" hidden="1">'PL24'!$G$113</definedName>
    <definedName name="QB_ROW_107270" localSheetId="0" hidden="1">'PL24'!$H$108</definedName>
    <definedName name="QB_ROW_108270" localSheetId="0" hidden="1">'PL24'!$H$109</definedName>
    <definedName name="QB_ROW_109270" localSheetId="0" hidden="1">'PL24'!$H$110</definedName>
    <definedName name="QB_ROW_110270" localSheetId="0" hidden="1">'PL24'!$H$111</definedName>
    <definedName name="QB_ROW_111270" localSheetId="0" hidden="1">'PL24'!$H$112</definedName>
    <definedName name="QB_ROW_112260" localSheetId="0" hidden="1">'PL24'!$G$47</definedName>
    <definedName name="QB_ROW_11250" localSheetId="0" hidden="1">'PL24'!$F$79</definedName>
    <definedName name="QB_ROW_113040" localSheetId="0" hidden="1">'PL24'!$E$56</definedName>
    <definedName name="QB_ROW_113250" localSheetId="0" hidden="1">'PL24'!$F$75</definedName>
    <definedName name="QB_ROW_113340" localSheetId="0" hidden="1">'PL24'!$E$76</definedName>
    <definedName name="QB_ROW_116250" localSheetId="0" hidden="1">'PL24'!$F$57</definedName>
    <definedName name="QB_ROW_117050" localSheetId="0" hidden="1">'PL24'!$F$58</definedName>
    <definedName name="QB_ROW_117260" localSheetId="0" hidden="1">'PL24'!$G$62</definedName>
    <definedName name="QB_ROW_117350" localSheetId="0" hidden="1">'PL24'!$F$63</definedName>
    <definedName name="QB_ROW_118260" localSheetId="0" hidden="1">'PL24'!$G$59</definedName>
    <definedName name="QB_ROW_119260" localSheetId="0" hidden="1">'PL24'!$G$60</definedName>
    <definedName name="QB_ROW_120260" localSheetId="0" hidden="1">'PL24'!$G$61</definedName>
    <definedName name="QB_ROW_12040" localSheetId="0" hidden="1">'PL24'!$E$155</definedName>
    <definedName name="QB_ROW_121250" localSheetId="0" hidden="1">'PL24'!$F$64</definedName>
    <definedName name="QB_ROW_122250" localSheetId="0" hidden="1">'PL24'!$F$65</definedName>
    <definedName name="QB_ROW_12250" localSheetId="0" hidden="1">'PL24'!$F$157</definedName>
    <definedName name="QB_ROW_123250" localSheetId="0" hidden="1">'PL24'!$F$66</definedName>
    <definedName name="QB_ROW_12340" localSheetId="0" hidden="1">'PL24'!$E$158</definedName>
    <definedName name="QB_ROW_124050" localSheetId="0" hidden="1">'PL24'!$F$68</definedName>
    <definedName name="QB_ROW_124350" localSheetId="0" hidden="1">'PL24'!$F$74</definedName>
    <definedName name="QB_ROW_125260" localSheetId="0" hidden="1">'PL24'!$G$69</definedName>
    <definedName name="QB_ROW_126260" localSheetId="0" hidden="1">'PL24'!$G$70</definedName>
    <definedName name="QB_ROW_127260" localSheetId="0" hidden="1">'PL24'!$G$71</definedName>
    <definedName name="QB_ROW_128250" localSheetId="0" hidden="1">'PL24'!$F$80</definedName>
    <definedName name="QB_ROW_129250" localSheetId="0" hidden="1">'PL24'!$F$138</definedName>
    <definedName name="QB_ROW_130250" localSheetId="0" hidden="1">'PL24'!$F$82</definedName>
    <definedName name="QB_ROW_131260" localSheetId="0" hidden="1">'PL24'!$G$84</definedName>
    <definedName name="QB_ROW_132260" localSheetId="0" hidden="1">'PL24'!$G$85</definedName>
    <definedName name="QB_ROW_133260" localSheetId="0" hidden="1">'PL24'!$G$86</definedName>
    <definedName name="QB_ROW_134260" localSheetId="0" hidden="1">'PL24'!$G$97</definedName>
    <definedName name="QB_ROW_135260" localSheetId="0" hidden="1">'PL24'!$G$87</definedName>
    <definedName name="QB_ROW_136260" localSheetId="0" hidden="1">'PL24'!$G$88</definedName>
    <definedName name="QB_ROW_137050" localSheetId="0" hidden="1">'PL24'!$F$91</definedName>
    <definedName name="QB_ROW_137350" localSheetId="0" hidden="1">'PL24'!$F$95</definedName>
    <definedName name="QB_ROW_138260" localSheetId="0" hidden="1">'PL24'!$G$93</definedName>
    <definedName name="QB_ROW_139260" localSheetId="0" hidden="1">'PL24'!$G$94</definedName>
    <definedName name="QB_ROW_140230" localSheetId="0" hidden="1">'PL24'!$D$172</definedName>
    <definedName name="QB_ROW_14050" localSheetId="0" hidden="1">'PL24'!$F$83</definedName>
    <definedName name="QB_ROW_141260" localSheetId="0" hidden="1">'PL24'!$G$121</definedName>
    <definedName name="QB_ROW_142260" localSheetId="0" hidden="1">'PL24'!$G$122</definedName>
    <definedName name="QB_ROW_14260" localSheetId="0" hidden="1">'PL24'!$G$89</definedName>
    <definedName name="QB_ROW_143260" localSheetId="0" hidden="1">'PL24'!$G$124</definedName>
    <definedName name="QB_ROW_14350" localSheetId="0" hidden="1">'PL24'!$F$90</definedName>
    <definedName name="QB_ROW_144260" localSheetId="0" hidden="1">'PL24'!$G$125</definedName>
    <definedName name="QB_ROW_145030" localSheetId="0" hidden="1">'PL24'!$D$164</definedName>
    <definedName name="QB_ROW_145240" localSheetId="0" hidden="1">'PL24'!$E$167</definedName>
    <definedName name="QB_ROW_145330" localSheetId="0" hidden="1">'PL24'!$D$168</definedName>
    <definedName name="QB_ROW_146240" localSheetId="0" hidden="1">'PL24'!$E$165</definedName>
    <definedName name="QB_ROW_147240" localSheetId="0" hidden="1">'PL24'!$E$166</definedName>
    <definedName name="QB_ROW_148040" localSheetId="0" hidden="1">'PL24'!$E$133</definedName>
    <definedName name="QB_ROW_148340" localSheetId="0" hidden="1">'PL24'!$E$154</definedName>
    <definedName name="QB_ROW_149250" localSheetId="0" hidden="1">'PL24'!$F$135</definedName>
    <definedName name="QB_ROW_150250" localSheetId="0" hidden="1">'PL24'!$F$136</definedName>
    <definedName name="QB_ROW_151250" localSheetId="0" hidden="1">'PL24'!$F$137</definedName>
    <definedName name="QB_ROW_152250" localSheetId="0" hidden="1">'PL24'!$F$139</definedName>
    <definedName name="QB_ROW_15260" localSheetId="0" hidden="1">'PL24'!$G$123</definedName>
    <definedName name="QB_ROW_153250" localSheetId="0" hidden="1">'PL24'!$F$140</definedName>
    <definedName name="QB_ROW_154250" localSheetId="0" hidden="1">'PL24'!$F$130</definedName>
    <definedName name="QB_ROW_155350" localSheetId="0" hidden="1">'PL24'!$F$141</definedName>
    <definedName name="QB_ROW_156250" localSheetId="0" hidden="1">'PL24'!$F$142</definedName>
    <definedName name="QB_ROW_157250" localSheetId="0" hidden="1">'PL24'!$F$143</definedName>
    <definedName name="QB_ROW_158050" localSheetId="0" hidden="1">'PL24'!$F$144</definedName>
    <definedName name="QB_ROW_158260" localSheetId="0" hidden="1">'PL24'!$G$148</definedName>
    <definedName name="QB_ROW_158350" localSheetId="0" hidden="1">'PL24'!$F$149</definedName>
    <definedName name="QB_ROW_159260" localSheetId="0" hidden="1">'PL24'!$G$145</definedName>
    <definedName name="QB_ROW_160260" localSheetId="0" hidden="1">'PL24'!$G$146</definedName>
    <definedName name="QB_ROW_161260" localSheetId="0" hidden="1">'PL24'!$G$147</definedName>
    <definedName name="QB_ROW_16230" localSheetId="0" hidden="1">'PL24'!$D$171</definedName>
    <definedName name="QB_ROW_164050" localSheetId="0" hidden="1">'PL24'!$F$106</definedName>
    <definedName name="QB_ROW_164350" localSheetId="0" hidden="1">'PL24'!$F$116</definedName>
    <definedName name="QB_ROW_165260" localSheetId="0" hidden="1">'PL24'!$G$114</definedName>
    <definedName name="QB_ROW_166260" localSheetId="0" hidden="1">'PL24'!$G$115</definedName>
    <definedName name="QB_ROW_173260" localSheetId="0" hidden="1">'PL24'!$G$46</definedName>
    <definedName name="QB_ROW_176250" localSheetId="0" hidden="1">'PL24'!$F$81</definedName>
    <definedName name="QB_ROW_177250" localSheetId="0" hidden="1">'PL24'!$F$150</definedName>
    <definedName name="QB_ROW_178260" localSheetId="0" hidden="1">'PL24'!$G$30</definedName>
    <definedName name="QB_ROW_18250" localSheetId="0" hidden="1">'PL24'!$F$78</definedName>
    <definedName name="QB_ROW_18301" localSheetId="0" hidden="1">'PL24'!$A$175</definedName>
    <definedName name="QB_ROW_19011" localSheetId="0" hidden="1">'PL24'!$B$2</definedName>
    <definedName name="QB_ROW_192260" localSheetId="0" hidden="1">'PL24'!$G$49</definedName>
    <definedName name="QB_ROW_19260" localSheetId="0" hidden="1">'PL24'!$G$92</definedName>
    <definedName name="QB_ROW_19311" localSheetId="0" hidden="1">'PL24'!$B$161</definedName>
    <definedName name="QB_ROW_193260" localSheetId="0" hidden="1">'PL24'!$G$41</definedName>
    <definedName name="QB_ROW_194260" localSheetId="0" hidden="1">'PL24'!$G$42</definedName>
    <definedName name="QB_ROW_197250" localSheetId="0" hidden="1">'PL24'!$F$117</definedName>
    <definedName name="QB_ROW_198260" localSheetId="0" hidden="1">'PL24'!$G$43</definedName>
    <definedName name="QB_ROW_20031" localSheetId="0" hidden="1">'PL24'!$D$3</definedName>
    <definedName name="QB_ROW_201250" localSheetId="0" hidden="1">'PL24'!$F$151</definedName>
    <definedName name="QB_ROW_202250" localSheetId="0" hidden="1">'PL24'!$F$118</definedName>
    <definedName name="QB_ROW_203250" localSheetId="0" hidden="1">'PL24'!$F$119</definedName>
    <definedName name="QB_ROW_20331" localSheetId="0" hidden="1">'PL24'!$D$20</definedName>
    <definedName name="QB_ROW_206250" localSheetId="0" hidden="1">'PL24'!$F$152</definedName>
    <definedName name="QB_ROW_208260" localSheetId="0" hidden="1">'PL24'!$G$126</definedName>
    <definedName name="QB_ROW_21031" localSheetId="0" hidden="1">'PL24'!$D$55</definedName>
    <definedName name="QB_ROW_21331" localSheetId="0" hidden="1">'PL24'!$D$160</definedName>
    <definedName name="QB_ROW_22011" localSheetId="0" hidden="1">'PL24'!$B$162</definedName>
    <definedName name="QB_ROW_22311" localSheetId="0" hidden="1">'PL24'!$B$174</definedName>
    <definedName name="QB_ROW_23021" localSheetId="0" hidden="1">'PL24'!$C$163</definedName>
    <definedName name="QB_ROW_23321" localSheetId="0" hidden="1">'PL24'!$C$169</definedName>
    <definedName name="QB_ROW_24021" localSheetId="0" hidden="1">'PL24'!$C$170</definedName>
    <definedName name="QB_ROW_24321" localSheetId="0" hidden="1">'PL24'!$C$173</definedName>
    <definedName name="QB_ROW_258060" localSheetId="0" hidden="1">'PL24'!$G$100</definedName>
    <definedName name="QB_ROW_258360" localSheetId="0" hidden="1">'PL24'!$G$103</definedName>
    <definedName name="QB_ROW_259270" localSheetId="0" hidden="1">'PL24'!$H$102</definedName>
    <definedName name="QB_ROW_261250" localSheetId="0" hidden="1">'PL24'!$F$131</definedName>
    <definedName name="QB_ROW_270050" localSheetId="0" hidden="1">'PL24'!$F$45</definedName>
    <definedName name="QB_ROW_270260" localSheetId="0" hidden="1">'PL24'!$G$50</definedName>
    <definedName name="QB_ROW_270350" localSheetId="0" hidden="1">'PL24'!$F$51</definedName>
    <definedName name="QB_ROW_271260" localSheetId="0" hidden="1">'PL24'!$G$38</definedName>
    <definedName name="QB_ROW_290240" localSheetId="0" hidden="1">'PL24'!$E$159</definedName>
    <definedName name="QB_ROW_29050" localSheetId="0" hidden="1">'PL24'!$F$96</definedName>
    <definedName name="QB_ROW_291260" localSheetId="0" hidden="1">'PL24'!$G$98</definedName>
    <definedName name="QB_ROW_29260" localSheetId="0" hidden="1">'PL24'!$G$104</definedName>
    <definedName name="QB_ROW_293270" localSheetId="0" hidden="1">'PL24'!$H$101</definedName>
    <definedName name="QB_ROW_29350" localSheetId="0" hidden="1">'PL24'!$F$105</definedName>
    <definedName name="QB_ROW_294260" localSheetId="0" hidden="1">'PL24'!$G$99</definedName>
    <definedName name="QB_ROW_296050" localSheetId="0" hidden="1">'PL24'!$F$120</definedName>
    <definedName name="QB_ROW_296260" localSheetId="0" hidden="1">'PL24'!$G$128</definedName>
    <definedName name="QB_ROW_296350" localSheetId="0" hidden="1">'PL24'!$F$129</definedName>
    <definedName name="QB_ROW_300250" localSheetId="0" hidden="1">'PL24'!$F$153</definedName>
    <definedName name="QB_ROW_311260" localSheetId="0" hidden="1">'PL24'!$G$127</definedName>
    <definedName name="QB_ROW_313260" localSheetId="0" hidden="1">'PL24'!$G$72</definedName>
    <definedName name="QB_ROW_324260" localSheetId="0" hidden="1">'PL24'!$G$15</definedName>
    <definedName name="QB_ROW_325260" localSheetId="0" hidden="1">'PL24'!$G$73</definedName>
    <definedName name="QB_ROW_326250" localSheetId="0" hidden="1">'PL24'!$F$156</definedName>
    <definedName name="QB_ROW_6040" localSheetId="0" hidden="1">'PL24'!$E$4</definedName>
    <definedName name="QB_ROW_6250" localSheetId="0" hidden="1">'PL24'!$F$18</definedName>
    <definedName name="QB_ROW_6340" localSheetId="0" hidden="1">'PL24'!$E$19</definedName>
    <definedName name="QB_ROW_69250" localSheetId="0" hidden="1">'PL24'!$F$5</definedName>
    <definedName name="QB_ROW_70250" localSheetId="0" hidden="1">'PL24'!$F$6</definedName>
    <definedName name="QB_ROW_7040" localSheetId="0" hidden="1">'PL24'!$E$22</definedName>
    <definedName name="QB_ROW_71250" localSheetId="0" hidden="1">'PL24'!$F$7</definedName>
    <definedName name="QB_ROW_72250" localSheetId="0" hidden="1">'PL24'!$F$8</definedName>
    <definedName name="QB_ROW_73250" localSheetId="0" hidden="1">'PL24'!$F$9</definedName>
    <definedName name="QB_ROW_7340" localSheetId="0" hidden="1">'PL24'!$E$52</definedName>
    <definedName name="QB_ROW_74250" localSheetId="0" hidden="1">'PL24'!$F$10</definedName>
    <definedName name="QB_ROW_76250" localSheetId="0" hidden="1">'PL24'!$F$11</definedName>
    <definedName name="QB_ROW_78350" localSheetId="0" hidden="1">'PL24'!$F$13</definedName>
    <definedName name="QB_ROW_81050" localSheetId="0" hidden="1">'PL24'!$F$14</definedName>
    <definedName name="QB_ROW_81260" localSheetId="0" hidden="1">'PL24'!$G$16</definedName>
    <definedName name="QB_ROW_81350" localSheetId="0" hidden="1">'PL24'!$F$17</definedName>
    <definedName name="QB_ROW_82260" localSheetId="0" hidden="1">'PL24'!$G$29</definedName>
    <definedName name="QB_ROW_8250" localSheetId="0" hidden="1">'PL24'!$F$67</definedName>
    <definedName name="QB_ROW_83260" localSheetId="0" hidden="1">'PL24'!$G$24</definedName>
    <definedName name="QB_ROW_84260" localSheetId="0" hidden="1">'PL24'!$G$25</definedName>
    <definedName name="QB_ROW_85260" localSheetId="0" hidden="1">'PL24'!$G$26</definedName>
    <definedName name="QB_ROW_86260" localSheetId="0" hidden="1">'PL24'!$G$27</definedName>
    <definedName name="QB_ROW_86321" localSheetId="0" hidden="1">'PL24'!$C$54</definedName>
    <definedName name="QB_ROW_87031" localSheetId="0" hidden="1">'PL24'!$D$21</definedName>
    <definedName name="QB_ROW_87260" localSheetId="0" hidden="1">'PL24'!$G$28</definedName>
    <definedName name="QB_ROW_87331" localSheetId="0" hidden="1">'PL24'!$D$53</definedName>
    <definedName name="QB_ROW_88050" localSheetId="0" hidden="1">'PL24'!$F$33</definedName>
    <definedName name="QB_ROW_88350" localSheetId="0" hidden="1">'PL24'!$F$44</definedName>
    <definedName name="QB_ROW_89050" localSheetId="0" hidden="1">'PL24'!$F$23</definedName>
    <definedName name="QB_ROW_89260" localSheetId="0" hidden="1">'PL24'!$G$31</definedName>
    <definedName name="QB_ROW_89350" localSheetId="0" hidden="1">'PL24'!$F$32</definedName>
    <definedName name="QB_ROW_90250" localSheetId="0" hidden="1">'PL24'!$F$12</definedName>
    <definedName name="QB_ROW_9040" localSheetId="0" hidden="1">'PL24'!$E$77</definedName>
    <definedName name="QB_ROW_91260" localSheetId="0" hidden="1">'PL24'!$G$34</definedName>
    <definedName name="QB_ROW_92260" localSheetId="0" hidden="1">'PL24'!$G$35</definedName>
    <definedName name="QB_ROW_93260" localSheetId="0" hidden="1">'PL24'!$G$36</definedName>
    <definedName name="QB_ROW_9340" localSheetId="0" hidden="1">'PL24'!$E$132</definedName>
    <definedName name="QB_ROW_94260" localSheetId="0" hidden="1">'PL24'!$G$37</definedName>
    <definedName name="QB_ROW_96260" localSheetId="0" hidden="1">'PL24'!$G$39</definedName>
    <definedName name="QB_ROW_99260" localSheetId="0" hidden="1">'PL24'!$G$40</definedName>
    <definedName name="QBCANSUPPORTUPDATE" localSheetId="0">TRUE</definedName>
    <definedName name="QBCOMPANYFILENAME" localSheetId="0">"C:\Quickbooks\Live Marketing, LLC 2020\live marketing, llc 2020.qbw"</definedName>
    <definedName name="QBENDDATE" localSheetId="0">20241231</definedName>
    <definedName name="QBHEADERSONSCREEN" localSheetId="0">FALSE</definedName>
    <definedName name="QBMETADATASIZE" localSheetId="0">6146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"733bd866eb064197bd087429e8f8f0d8"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8</definedName>
    <definedName name="QBSTARTDATE" localSheetId="0">20240101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/>
  <c r="I19" i="5"/>
  <c r="I20" i="5"/>
  <c r="I32" i="5"/>
  <c r="I44" i="5"/>
  <c r="I51" i="5"/>
  <c r="I52" i="5"/>
  <c r="I53" i="5"/>
  <c r="I54" i="5"/>
  <c r="I63" i="5"/>
  <c r="I74" i="5"/>
  <c r="I76" i="5"/>
  <c r="I90" i="5"/>
  <c r="I95" i="5"/>
  <c r="I103" i="5"/>
  <c r="I105" i="5"/>
  <c r="I113" i="5"/>
  <c r="I116" i="5"/>
  <c r="I129" i="5"/>
  <c r="I132" i="5"/>
  <c r="I149" i="5"/>
  <c r="I154" i="5"/>
  <c r="I158" i="5"/>
  <c r="I160" i="5"/>
  <c r="I161" i="5"/>
  <c r="I168" i="5"/>
  <c r="I169" i="5"/>
  <c r="I173" i="5"/>
  <c r="I174" i="5"/>
  <c r="I175" i="5"/>
</calcChain>
</file>

<file path=xl/sharedStrings.xml><?xml version="1.0" encoding="utf-8"?>
<sst xmlns="http://schemas.openxmlformats.org/spreadsheetml/2006/main" count="175" uniqueCount="175">
  <si>
    <t>Net Income</t>
  </si>
  <si>
    <t>Net Other Income</t>
  </si>
  <si>
    <t>Total Other Expense</t>
  </si>
  <si>
    <t>6400-02 · Depreciation Expense</t>
  </si>
  <si>
    <t>6400-01 · Amoritization Expense</t>
  </si>
  <si>
    <t>Other Expense</t>
  </si>
  <si>
    <t>Total Other Income</t>
  </si>
  <si>
    <t>Total 6300 · Other Income</t>
  </si>
  <si>
    <t>6300-02 · Intrest Income</t>
  </si>
  <si>
    <t>6300-01 · Recycling Income</t>
  </si>
  <si>
    <t>6300 · Other Income</t>
  </si>
  <si>
    <t>Other Income</t>
  </si>
  <si>
    <t>Other Income/Expense</t>
  </si>
  <si>
    <t>Net Ordinary Income</t>
  </si>
  <si>
    <t>Total Expense</t>
  </si>
  <si>
    <t>Total 6400 · Other Admin Expenses</t>
  </si>
  <si>
    <t>5301 · Moving Expenses</t>
  </si>
  <si>
    <t>6400 · Other Admin Expenses</t>
  </si>
  <si>
    <t>Total 6200 · Selling Expenses</t>
  </si>
  <si>
    <t>6200-21 · Recruitment Expense</t>
  </si>
  <si>
    <t>6200-18 · Bad Debt Expense</t>
  </si>
  <si>
    <t>6200-17 · Insurance - Auto Exepense Sales</t>
  </si>
  <si>
    <t>6200-16 · Mail &amp; Postage - Selling Ex</t>
  </si>
  <si>
    <t>Total 6200-10 · Sales Payroll</t>
  </si>
  <si>
    <t>6200-13 · Commissions</t>
  </si>
  <si>
    <t>6200-12 · Salary - Customer Service Rep</t>
  </si>
  <si>
    <t>6200-11 · Salary - Sales Executive</t>
  </si>
  <si>
    <t>6200-10 · Sales Payroll</t>
  </si>
  <si>
    <t>6200-09 · Auto Expense - Sales</t>
  </si>
  <si>
    <t>6200-08 · Trade Show Expense</t>
  </si>
  <si>
    <t>6200-07 · Meals &amp; Entertainment</t>
  </si>
  <si>
    <t>6200-06 · Travel &amp; Lodging Expense</t>
  </si>
  <si>
    <t>6200-05 · Client Development</t>
  </si>
  <si>
    <t>6200-04 · Dues &amp; Subscriptions</t>
  </si>
  <si>
    <t>6200-02 · Computer Expense - Sales</t>
  </si>
  <si>
    <t>6200-01 · Cellular &amp; Telephone Expense</t>
  </si>
  <si>
    <t>6000-13 · Advertising &amp; Marketing</t>
  </si>
  <si>
    <t>6200 · Selling Expenses</t>
  </si>
  <si>
    <t>Total 6000 · Administrative Expense</t>
  </si>
  <si>
    <t>6400-08 · Contributions &amp; Donations</t>
  </si>
  <si>
    <t>Total 6010 · Bank, Interest and Finance Fees</t>
  </si>
  <si>
    <t>6010 · Bank, Interest and Finance Fees - Other</t>
  </si>
  <si>
    <t>6400-11 · EIDL Loan Interest</t>
  </si>
  <si>
    <t>6400-09 · Penalties &amp; Interest</t>
  </si>
  <si>
    <t>6400-07 · LOC Interest Exepnse</t>
  </si>
  <si>
    <t>6400-06 · Interest &amp; Finance Charges</t>
  </si>
  <si>
    <t>6400-05 · Interest Expense</t>
  </si>
  <si>
    <t>6400-04 · CC Processing Merch Fees</t>
  </si>
  <si>
    <t>6400-03 · Bank Service Charges</t>
  </si>
  <si>
    <t>6010 · Bank, Interest and Finance Fees</t>
  </si>
  <si>
    <t>6000-26 · Taxes - Business Other</t>
  </si>
  <si>
    <t>6000-25 · Rent Expense</t>
  </si>
  <si>
    <t>6000-24 · Internt/FIOS/VOIP/DSL Data Ser</t>
  </si>
  <si>
    <t>Total 6000-20 · Wages &amp; Earnings</t>
  </si>
  <si>
    <t>6000-22 · Officer Admin Wages</t>
  </si>
  <si>
    <t>6000-21 · Administrative Wages</t>
  </si>
  <si>
    <t>Total 5200-01 · Factory Production Payroll</t>
  </si>
  <si>
    <t>5200-06 · Bonus Expense - Factory</t>
  </si>
  <si>
    <t>5200-05 · Prod Wages - Mailing</t>
  </si>
  <si>
    <t>5200-04 · Prod Wages - Program &amp; Graphics</t>
  </si>
  <si>
    <t>5200-03 · Prod Wages - Bindery &amp; Shipping</t>
  </si>
  <si>
    <t>5200-02 · Prod Wages - Pressroom</t>
  </si>
  <si>
    <t>5200-01 · Factory Production Payroll</t>
  </si>
  <si>
    <t>6000-20 · Wages &amp; Earnings</t>
  </si>
  <si>
    <t>Total 6000-19 · Payroll Expenses</t>
  </si>
  <si>
    <t>6000-19 · Payroll Expenses - Other</t>
  </si>
  <si>
    <t>Total 6001 · Employee Benefits</t>
  </si>
  <si>
    <t>6002 · Health &amp; Dental Insurance</t>
  </si>
  <si>
    <t>6000-30 · Employee Med Reimburse</t>
  </si>
  <si>
    <t>6001 · Employee Benefits</t>
  </si>
  <si>
    <t>6000-31 · Payroll Fees</t>
  </si>
  <si>
    <t>6000-29 · Employer Payroll Taxes</t>
  </si>
  <si>
    <t>6000-10 · Ins - Workers Compensation</t>
  </si>
  <si>
    <t>6000-19 · Payroll Expenses</t>
  </si>
  <si>
    <t>Total 6000-15 · Professional Fees</t>
  </si>
  <si>
    <t>6000-18 · Prof Fees - Consultant</t>
  </si>
  <si>
    <t>6000-17 · Prof Fees - Legal</t>
  </si>
  <si>
    <t>6000-16 · Prof Fees - Accounting</t>
  </si>
  <si>
    <t>6000-15 · Professional Fees</t>
  </si>
  <si>
    <t>Total 6000-06 · Insurance Expense</t>
  </si>
  <si>
    <t>6000-12 · Health &amp; Dental Ins - Officer</t>
  </si>
  <si>
    <t>6000-11 · Life Insurance - Officer &amp; Key</t>
  </si>
  <si>
    <t>6000-09 · Ins - Cyber Liability</t>
  </si>
  <si>
    <t>6000-08 · Ins - Automobile &amp; Trucks</t>
  </si>
  <si>
    <t>6000-07 · Ins - Property &amp; Liability</t>
  </si>
  <si>
    <t>6000-06 · Insurance Expense</t>
  </si>
  <si>
    <t>6000-05 · Software Expense</t>
  </si>
  <si>
    <t>6000-04 · Office Cleaning &amp; Maintainence</t>
  </si>
  <si>
    <t>6000-03 · Seminars &amp; Training</t>
  </si>
  <si>
    <t>6000-02 · Computer Expenses</t>
  </si>
  <si>
    <t>6000-01 · Office Supplies</t>
  </si>
  <si>
    <t>6000 · Administrative Expense</t>
  </si>
  <si>
    <t>Total 5300 · Factory Expense</t>
  </si>
  <si>
    <t>5300 · Factory Expense - Other</t>
  </si>
  <si>
    <t>Total 5400 · Repair &amp; Maintainence</t>
  </si>
  <si>
    <t>5400-05 · R&amp;M - Warehouse &amp; Bldg Maint</t>
  </si>
  <si>
    <t>5400-04 · R&amp;M - Graphics &amp; Prepress</t>
  </si>
  <si>
    <t>5400-03 · R&amp;M - Mailing &amp; Digital</t>
  </si>
  <si>
    <t>5400-02 · R&amp;M - Bindery &amp; Shipping</t>
  </si>
  <si>
    <t>5400-01 · R&amp;M - Pressroom</t>
  </si>
  <si>
    <t>5400 · Repair &amp; Maintainence</t>
  </si>
  <si>
    <t>5350 · Contract Labor</t>
  </si>
  <si>
    <t>5300-10 · Gas Expense</t>
  </si>
  <si>
    <t>5300-09 · Automobile Expense - Trucks</t>
  </si>
  <si>
    <t>5300-08 · Warehouse Supplies &amp; Maintain</t>
  </si>
  <si>
    <t>Total 5300-04 · Utilities</t>
  </si>
  <si>
    <t>5300-04 · Utilities - Other</t>
  </si>
  <si>
    <t>5300-07 · Waste Exepnse</t>
  </si>
  <si>
    <t>5300-06 · Electric Expense</t>
  </si>
  <si>
    <t>5300-05 · Water Expense</t>
  </si>
  <si>
    <t>5300-04 · Utilities</t>
  </si>
  <si>
    <t>5300-03 · Equipment Rental</t>
  </si>
  <si>
    <t>5300 · Factory Expense</t>
  </si>
  <si>
    <t>Expense</t>
  </si>
  <si>
    <t>Gross Profit</t>
  </si>
  <si>
    <t>Total COGS</t>
  </si>
  <si>
    <t>Total 5000 · Cost of Goods Sold</t>
  </si>
  <si>
    <t>Total 5060 · CGS - Other</t>
  </si>
  <si>
    <t>5060 · CGS - Other - Other</t>
  </si>
  <si>
    <t>5200-07 · Cloud Services &amp; Platforms</t>
  </si>
  <si>
    <t>5020 · Production Post - Paid</t>
  </si>
  <si>
    <t>5060 · CGS - Other</t>
  </si>
  <si>
    <t>Total 5030 · CGS - Outside Servics</t>
  </si>
  <si>
    <t>5030-10 · CGS - Promo &amp; Direct Buyout</t>
  </si>
  <si>
    <t>5030-09 · Email Pipelines</t>
  </si>
  <si>
    <t>5030-08 · Subscriptions for SAAS Services</t>
  </si>
  <si>
    <t>5030-07 · Data &amp; List Purchases</t>
  </si>
  <si>
    <t>5030-06 · Programming Services</t>
  </si>
  <si>
    <t>5030-03 · Bindery &amp; Finishing Services</t>
  </si>
  <si>
    <t>5030-02 · Printing &amp; Digital Services</t>
  </si>
  <si>
    <t>5030-01 · Graphics &amp; Marketing</t>
  </si>
  <si>
    <t>5030 · CGS - Outside Servics</t>
  </si>
  <si>
    <t>Total 5000-01 · CGS - Chargeable Materials</t>
  </si>
  <si>
    <t>5000-09 · CGS - Freight Expense</t>
  </si>
  <si>
    <t>5000-08 · Graphics &amp; Prepress</t>
  </si>
  <si>
    <t>5000-07 · Paper &amp; Stock</t>
  </si>
  <si>
    <t>5000-06 · Digital Clicks</t>
  </si>
  <si>
    <t>5000-04 · Mailing Supplies &amp; Software</t>
  </si>
  <si>
    <t>5000-03 · Bindery &amp; Shipping Supplies</t>
  </si>
  <si>
    <t>5000-02 · Digital &amp; Pressroom Supplies</t>
  </si>
  <si>
    <t>5000-01 · CGS - Chargeable Materials</t>
  </si>
  <si>
    <t>5000 · Cost of Goods Sold</t>
  </si>
  <si>
    <t>Cost of Goods Sold</t>
  </si>
  <si>
    <t>Total Income</t>
  </si>
  <si>
    <t>Total 4000 · Gross Sales</t>
  </si>
  <si>
    <t>Total 4000-99 · Production Postage - Income</t>
  </si>
  <si>
    <t>4000-99 · Production Postage - Income - Other</t>
  </si>
  <si>
    <t>4000-98 · Postage Credits</t>
  </si>
  <si>
    <t>4000-99 · Production Postage - Income</t>
  </si>
  <si>
    <t>4000-17 · Sales Discounts</t>
  </si>
  <si>
    <t>4000-09 · Finishing &amp; Bindery Services</t>
  </si>
  <si>
    <t>4000-08 · Seminar Sales &amp; Ancillary Svcs</t>
  </si>
  <si>
    <t>4000-06 · (e) Business Platforms</t>
  </si>
  <si>
    <t>4000-05 · Shipping/Delivery/Fulfillment</t>
  </si>
  <si>
    <t>4000-04 · Marketing &amp; Direct Mail</t>
  </si>
  <si>
    <t>4000-03 · SAAS Services</t>
  </si>
  <si>
    <t>4000-02 · Data &amp; Mailing Services</t>
  </si>
  <si>
    <t>4000-01 · Programming &amp; Graphics</t>
  </si>
  <si>
    <t>4000 · Gross Sales</t>
  </si>
  <si>
    <t>Income</t>
  </si>
  <si>
    <t>Ordinary Income/Expense</t>
  </si>
  <si>
    <t>6300 · Other Income - Other</t>
  </si>
  <si>
    <t>66900 · Reconciliation Discrepancies</t>
  </si>
  <si>
    <t>6400 · Other Admin Expenses - Other</t>
  </si>
  <si>
    <t>6200-10 · Sales Payroll - Other</t>
  </si>
  <si>
    <t>6200-03 · Courier &amp; Shipping Expense</t>
  </si>
  <si>
    <t>6900 · Reconciliation Discrepencies</t>
  </si>
  <si>
    <t>6000-06 · Insurance Expense - Other</t>
  </si>
  <si>
    <t>5390 · Taxes - Paid on Purchases</t>
  </si>
  <si>
    <t>5200 · Factory Production Expense</t>
  </si>
  <si>
    <t>5030-05 · Social Media Expense</t>
  </si>
  <si>
    <t>5030-04 · Mailing Services</t>
  </si>
  <si>
    <t>5000-01 · CGS - Chargeable Materials - Other</t>
  </si>
  <si>
    <t>4000 · Gross Sales - Other</t>
  </si>
  <si>
    <t>Jan - Dec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</si>
</sst>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4" fontId="1" fillId="0" borderId="3" xfId="0" applyNumberFormat="1" applyFont="1" applyBorder="1"/>
    <xf numFmtId="164" fontId="1" fillId="0" borderId="2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7236D17-59C6-42C9-BE29-1FBE11918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5121" name="FILTER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5122" name="HEADER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F3C1-F736-450C-8D99-1BFB68DEEE31}">
  <sheetPr codeName="Sheet4"/>
  <dimension ref="A1:I176"/>
  <sheetViews>
    <sheetView tabSelected="1" workbookViewId="0">
      <pane xSplit="8" ySplit="1" topLeftCell="I2" activePane="bottomRight" state="frozenSplit"/>
      <selection pane="topRight" activeCell="I1" sqref="I1"/>
      <selection pane="bottomLeft" activeCell="A2" sqref="A2"/>
      <selection pane="bottomRight" activeCell="M5" sqref="M5"/>
    </sheetView>
  </sheetViews>
  <sheetFormatPr defaultRowHeight="14.4" x14ac:dyDescent="0.3"/>
  <cols>
    <col min="1" max="7" width="3" style="7" customWidth="1"/>
    <col min="8" max="8" width="35.88671875" style="7" customWidth="1"/>
    <col min="9" max="9" width="11.33203125" bestFit="1" customWidth="1"/>
  </cols>
  <sheetData>
    <row r="1" spans="1:9" s="10" customFormat="1" ht="15" thickBot="1" x14ac:dyDescent="0.35">
      <c r="A1" s="8"/>
      <c r="B1" s="8"/>
      <c r="C1" s="8"/>
      <c r="D1" s="8"/>
      <c r="E1" s="8"/>
      <c r="F1" s="8"/>
      <c r="G1" s="8"/>
      <c r="H1" s="8"/>
      <c r="I1" s="9" t="s">
        <v>174</v>
      </c>
    </row>
    <row r="2" spans="1:9" ht="15" thickTop="1" x14ac:dyDescent="0.3">
      <c r="A2" s="1"/>
      <c r="B2" s="1" t="s">
        <v>160</v>
      </c>
      <c r="C2" s="1"/>
      <c r="D2" s="1"/>
      <c r="E2" s="1"/>
      <c r="F2" s="1"/>
      <c r="G2" s="1"/>
      <c r="H2" s="1"/>
      <c r="I2" s="2"/>
    </row>
    <row r="3" spans="1:9" x14ac:dyDescent="0.3">
      <c r="A3" s="1"/>
      <c r="B3" s="1"/>
      <c r="C3" s="1"/>
      <c r="D3" s="1" t="s">
        <v>159</v>
      </c>
      <c r="E3" s="1"/>
      <c r="F3" s="1"/>
      <c r="G3" s="1"/>
      <c r="H3" s="1"/>
      <c r="I3" s="2"/>
    </row>
    <row r="4" spans="1:9" x14ac:dyDescent="0.3">
      <c r="A4" s="1"/>
      <c r="B4" s="1"/>
      <c r="C4" s="1"/>
      <c r="D4" s="1"/>
      <c r="E4" s="1" t="s">
        <v>158</v>
      </c>
      <c r="F4" s="1"/>
      <c r="G4" s="1"/>
      <c r="H4" s="1"/>
      <c r="I4" s="2"/>
    </row>
    <row r="5" spans="1:9" x14ac:dyDescent="0.3">
      <c r="A5" s="1"/>
      <c r="B5" s="1"/>
      <c r="C5" s="1"/>
      <c r="D5" s="1"/>
      <c r="E5" s="1"/>
      <c r="F5" s="1" t="s">
        <v>157</v>
      </c>
      <c r="G5" s="1"/>
      <c r="H5" s="1"/>
      <c r="I5" s="2">
        <v>26829.7</v>
      </c>
    </row>
    <row r="6" spans="1:9" x14ac:dyDescent="0.3">
      <c r="A6" s="1"/>
      <c r="B6" s="1"/>
      <c r="C6" s="1"/>
      <c r="D6" s="1"/>
      <c r="E6" s="1"/>
      <c r="F6" s="1" t="s">
        <v>156</v>
      </c>
      <c r="G6" s="1"/>
      <c r="H6" s="1"/>
      <c r="I6" s="2">
        <v>16472.96</v>
      </c>
    </row>
    <row r="7" spans="1:9" x14ac:dyDescent="0.3">
      <c r="A7" s="1"/>
      <c r="B7" s="1"/>
      <c r="C7" s="1"/>
      <c r="D7" s="1"/>
      <c r="E7" s="1"/>
      <c r="F7" s="1" t="s">
        <v>155</v>
      </c>
      <c r="G7" s="1"/>
      <c r="H7" s="1"/>
      <c r="I7" s="2">
        <v>346852</v>
      </c>
    </row>
    <row r="8" spans="1:9" x14ac:dyDescent="0.3">
      <c r="A8" s="1"/>
      <c r="B8" s="1"/>
      <c r="C8" s="1"/>
      <c r="D8" s="1"/>
      <c r="E8" s="1"/>
      <c r="F8" s="1" t="s">
        <v>154</v>
      </c>
      <c r="G8" s="1"/>
      <c r="H8" s="1"/>
      <c r="I8" s="2">
        <v>2745200.46</v>
      </c>
    </row>
    <row r="9" spans="1:9" x14ac:dyDescent="0.3">
      <c r="A9" s="1"/>
      <c r="B9" s="1"/>
      <c r="C9" s="1"/>
      <c r="D9" s="1"/>
      <c r="E9" s="1"/>
      <c r="F9" s="1" t="s">
        <v>153</v>
      </c>
      <c r="G9" s="1"/>
      <c r="H9" s="1"/>
      <c r="I9" s="2">
        <v>35869.519999999997</v>
      </c>
    </row>
    <row r="10" spans="1:9" x14ac:dyDescent="0.3">
      <c r="A10" s="1"/>
      <c r="B10" s="1"/>
      <c r="C10" s="1"/>
      <c r="D10" s="1"/>
      <c r="E10" s="1"/>
      <c r="F10" s="1" t="s">
        <v>152</v>
      </c>
      <c r="G10" s="1"/>
      <c r="H10" s="1"/>
      <c r="I10" s="2">
        <v>932295.78</v>
      </c>
    </row>
    <row r="11" spans="1:9" x14ac:dyDescent="0.3">
      <c r="A11" s="1"/>
      <c r="B11" s="1"/>
      <c r="C11" s="1"/>
      <c r="D11" s="1"/>
      <c r="E11" s="1"/>
      <c r="F11" s="1" t="s">
        <v>151</v>
      </c>
      <c r="G11" s="1"/>
      <c r="H11" s="1"/>
      <c r="I11" s="2">
        <v>1155658.51</v>
      </c>
    </row>
    <row r="12" spans="1:9" x14ac:dyDescent="0.3">
      <c r="A12" s="1"/>
      <c r="B12" s="1"/>
      <c r="C12" s="1"/>
      <c r="D12" s="1"/>
      <c r="E12" s="1"/>
      <c r="F12" s="1" t="s">
        <v>150</v>
      </c>
      <c r="G12" s="1"/>
      <c r="H12" s="1"/>
      <c r="I12" s="2">
        <v>570</v>
      </c>
    </row>
    <row r="13" spans="1:9" x14ac:dyDescent="0.3">
      <c r="A13" s="1"/>
      <c r="B13" s="1"/>
      <c r="C13" s="1"/>
      <c r="D13" s="1"/>
      <c r="E13" s="1"/>
      <c r="F13" s="1" t="s">
        <v>149</v>
      </c>
      <c r="G13" s="1"/>
      <c r="H13" s="1"/>
      <c r="I13" s="2">
        <v>-31853.96</v>
      </c>
    </row>
    <row r="14" spans="1:9" x14ac:dyDescent="0.3">
      <c r="A14" s="1"/>
      <c r="B14" s="1"/>
      <c r="C14" s="1"/>
      <c r="D14" s="1"/>
      <c r="E14" s="1"/>
      <c r="F14" s="1" t="s">
        <v>148</v>
      </c>
      <c r="G14" s="1"/>
      <c r="H14" s="1"/>
      <c r="I14" s="2"/>
    </row>
    <row r="15" spans="1:9" x14ac:dyDescent="0.3">
      <c r="A15" s="1"/>
      <c r="B15" s="1"/>
      <c r="C15" s="1"/>
      <c r="D15" s="1"/>
      <c r="E15" s="1"/>
      <c r="F15" s="1"/>
      <c r="G15" s="1" t="s">
        <v>147</v>
      </c>
      <c r="H15" s="1"/>
      <c r="I15" s="2">
        <v>155533.43</v>
      </c>
    </row>
    <row r="16" spans="1:9" ht="15" thickBot="1" x14ac:dyDescent="0.35">
      <c r="A16" s="1"/>
      <c r="B16" s="1"/>
      <c r="C16" s="1"/>
      <c r="D16" s="1"/>
      <c r="E16" s="1"/>
      <c r="F16" s="1"/>
      <c r="G16" s="1" t="s">
        <v>146</v>
      </c>
      <c r="H16" s="1"/>
      <c r="I16" s="4">
        <v>1167016.3700000001</v>
      </c>
    </row>
    <row r="17" spans="1:9" x14ac:dyDescent="0.3">
      <c r="A17" s="1"/>
      <c r="B17" s="1"/>
      <c r="C17" s="1"/>
      <c r="D17" s="1"/>
      <c r="E17" s="1"/>
      <c r="F17" s="1" t="s">
        <v>145</v>
      </c>
      <c r="G17" s="1"/>
      <c r="H17" s="1"/>
      <c r="I17" s="2">
        <f>ROUND(SUM(I14:I16),5)</f>
        <v>1322549.8</v>
      </c>
    </row>
    <row r="18" spans="1:9" ht="15" thickBot="1" x14ac:dyDescent="0.35">
      <c r="A18" s="1"/>
      <c r="B18" s="1"/>
      <c r="C18" s="1"/>
      <c r="D18" s="1"/>
      <c r="E18" s="1"/>
      <c r="F18" s="1" t="s">
        <v>173</v>
      </c>
      <c r="G18" s="1"/>
      <c r="H18" s="1"/>
      <c r="I18" s="2">
        <v>3497.5</v>
      </c>
    </row>
    <row r="19" spans="1:9" ht="15" thickBot="1" x14ac:dyDescent="0.35">
      <c r="A19" s="1"/>
      <c r="B19" s="1"/>
      <c r="C19" s="1"/>
      <c r="D19" s="1"/>
      <c r="E19" s="1" t="s">
        <v>144</v>
      </c>
      <c r="F19" s="1"/>
      <c r="G19" s="1"/>
      <c r="H19" s="1"/>
      <c r="I19" s="3">
        <f>ROUND(SUM(I4:I13)+SUM(I17:I18),5)</f>
        <v>6553942.2699999996</v>
      </c>
    </row>
    <row r="20" spans="1:9" x14ac:dyDescent="0.3">
      <c r="A20" s="1"/>
      <c r="B20" s="1"/>
      <c r="C20" s="1"/>
      <c r="D20" s="1" t="s">
        <v>143</v>
      </c>
      <c r="E20" s="1"/>
      <c r="F20" s="1"/>
      <c r="G20" s="1"/>
      <c r="H20" s="1"/>
      <c r="I20" s="2">
        <f>ROUND(I3+I19,5)</f>
        <v>6553942.2699999996</v>
      </c>
    </row>
    <row r="21" spans="1:9" x14ac:dyDescent="0.3">
      <c r="A21" s="1"/>
      <c r="B21" s="1"/>
      <c r="C21" s="1"/>
      <c r="D21" s="1" t="s">
        <v>142</v>
      </c>
      <c r="E21" s="1"/>
      <c r="F21" s="1"/>
      <c r="G21" s="1"/>
      <c r="H21" s="1"/>
      <c r="I21" s="2"/>
    </row>
    <row r="22" spans="1:9" x14ac:dyDescent="0.3">
      <c r="A22" s="1"/>
      <c r="B22" s="1"/>
      <c r="C22" s="1"/>
      <c r="D22" s="1"/>
      <c r="E22" s="1" t="s">
        <v>141</v>
      </c>
      <c r="F22" s="1"/>
      <c r="G22" s="1"/>
      <c r="H22" s="1"/>
      <c r="I22" s="2"/>
    </row>
    <row r="23" spans="1:9" x14ac:dyDescent="0.3">
      <c r="A23" s="1"/>
      <c r="B23" s="1"/>
      <c r="C23" s="1"/>
      <c r="D23" s="1"/>
      <c r="E23" s="1"/>
      <c r="F23" s="1" t="s">
        <v>140</v>
      </c>
      <c r="G23" s="1"/>
      <c r="H23" s="1"/>
      <c r="I23" s="2"/>
    </row>
    <row r="24" spans="1:9" x14ac:dyDescent="0.3">
      <c r="A24" s="1"/>
      <c r="B24" s="1"/>
      <c r="C24" s="1"/>
      <c r="D24" s="1"/>
      <c r="E24" s="1"/>
      <c r="F24" s="1"/>
      <c r="G24" s="1" t="s">
        <v>139</v>
      </c>
      <c r="H24" s="1"/>
      <c r="I24" s="2">
        <v>115953.81</v>
      </c>
    </row>
    <row r="25" spans="1:9" x14ac:dyDescent="0.3">
      <c r="A25" s="1"/>
      <c r="B25" s="1"/>
      <c r="C25" s="1"/>
      <c r="D25" s="1"/>
      <c r="E25" s="1"/>
      <c r="F25" s="1"/>
      <c r="G25" s="1" t="s">
        <v>138</v>
      </c>
      <c r="H25" s="1"/>
      <c r="I25" s="2">
        <v>22070.1</v>
      </c>
    </row>
    <row r="26" spans="1:9" x14ac:dyDescent="0.3">
      <c r="A26" s="1"/>
      <c r="B26" s="1"/>
      <c r="C26" s="1"/>
      <c r="D26" s="1"/>
      <c r="E26" s="1"/>
      <c r="F26" s="1"/>
      <c r="G26" s="1" t="s">
        <v>137</v>
      </c>
      <c r="H26" s="1"/>
      <c r="I26" s="2">
        <v>91276.61</v>
      </c>
    </row>
    <row r="27" spans="1:9" x14ac:dyDescent="0.3">
      <c r="A27" s="1"/>
      <c r="B27" s="1"/>
      <c r="C27" s="1"/>
      <c r="D27" s="1"/>
      <c r="E27" s="1"/>
      <c r="F27" s="1"/>
      <c r="G27" s="1" t="s">
        <v>136</v>
      </c>
      <c r="H27" s="1"/>
      <c r="I27" s="2">
        <v>137507.24</v>
      </c>
    </row>
    <row r="28" spans="1:9" x14ac:dyDescent="0.3">
      <c r="A28" s="1"/>
      <c r="B28" s="1"/>
      <c r="C28" s="1"/>
      <c r="D28" s="1"/>
      <c r="E28" s="1"/>
      <c r="F28" s="1"/>
      <c r="G28" s="1" t="s">
        <v>135</v>
      </c>
      <c r="H28" s="1"/>
      <c r="I28" s="2">
        <v>948648.86</v>
      </c>
    </row>
    <row r="29" spans="1:9" x14ac:dyDescent="0.3">
      <c r="A29" s="1"/>
      <c r="B29" s="1"/>
      <c r="C29" s="1"/>
      <c r="D29" s="1"/>
      <c r="E29" s="1"/>
      <c r="F29" s="1"/>
      <c r="G29" s="1" t="s">
        <v>134</v>
      </c>
      <c r="H29" s="1"/>
      <c r="I29" s="2">
        <v>9409.39</v>
      </c>
    </row>
    <row r="30" spans="1:9" x14ac:dyDescent="0.3">
      <c r="A30" s="1"/>
      <c r="B30" s="1"/>
      <c r="C30" s="1"/>
      <c r="D30" s="1"/>
      <c r="E30" s="1"/>
      <c r="F30" s="1"/>
      <c r="G30" s="1" t="s">
        <v>133</v>
      </c>
      <c r="H30" s="1"/>
      <c r="I30" s="2">
        <v>21459.62</v>
      </c>
    </row>
    <row r="31" spans="1:9" ht="15" thickBot="1" x14ac:dyDescent="0.35">
      <c r="A31" s="1"/>
      <c r="B31" s="1"/>
      <c r="C31" s="1"/>
      <c r="D31" s="1"/>
      <c r="E31" s="1"/>
      <c r="F31" s="1"/>
      <c r="G31" s="1" t="s">
        <v>172</v>
      </c>
      <c r="H31" s="1"/>
      <c r="I31" s="4">
        <v>0</v>
      </c>
    </row>
    <row r="32" spans="1:9" x14ac:dyDescent="0.3">
      <c r="A32" s="1"/>
      <c r="B32" s="1"/>
      <c r="C32" s="1"/>
      <c r="D32" s="1"/>
      <c r="E32" s="1"/>
      <c r="F32" s="1" t="s">
        <v>132</v>
      </c>
      <c r="G32" s="1"/>
      <c r="H32" s="1"/>
      <c r="I32" s="2">
        <f>ROUND(SUM(I23:I31),5)</f>
        <v>1346325.63</v>
      </c>
    </row>
    <row r="33" spans="1:9" x14ac:dyDescent="0.3">
      <c r="A33" s="1"/>
      <c r="B33" s="1"/>
      <c r="C33" s="1"/>
      <c r="D33" s="1"/>
      <c r="E33" s="1"/>
      <c r="F33" s="1" t="s">
        <v>131</v>
      </c>
      <c r="G33" s="1"/>
      <c r="H33" s="1"/>
      <c r="I33" s="2"/>
    </row>
    <row r="34" spans="1:9" x14ac:dyDescent="0.3">
      <c r="A34" s="1"/>
      <c r="B34" s="1"/>
      <c r="C34" s="1"/>
      <c r="D34" s="1"/>
      <c r="E34" s="1"/>
      <c r="F34" s="1"/>
      <c r="G34" s="1" t="s">
        <v>130</v>
      </c>
      <c r="H34" s="1"/>
      <c r="I34" s="2">
        <v>0</v>
      </c>
    </row>
    <row r="35" spans="1:9" x14ac:dyDescent="0.3">
      <c r="A35" s="1"/>
      <c r="B35" s="1"/>
      <c r="C35" s="1"/>
      <c r="D35" s="1"/>
      <c r="E35" s="1"/>
      <c r="F35" s="1"/>
      <c r="G35" s="1" t="s">
        <v>129</v>
      </c>
      <c r="H35" s="1"/>
      <c r="I35" s="2">
        <v>277980.78999999998</v>
      </c>
    </row>
    <row r="36" spans="1:9" x14ac:dyDescent="0.3">
      <c r="A36" s="1"/>
      <c r="B36" s="1"/>
      <c r="C36" s="1"/>
      <c r="D36" s="1"/>
      <c r="E36" s="1"/>
      <c r="F36" s="1"/>
      <c r="G36" s="1" t="s">
        <v>128</v>
      </c>
      <c r="H36" s="1"/>
      <c r="I36" s="2">
        <v>11893.15</v>
      </c>
    </row>
    <row r="37" spans="1:9" x14ac:dyDescent="0.3">
      <c r="A37" s="1"/>
      <c r="B37" s="1"/>
      <c r="C37" s="1"/>
      <c r="D37" s="1"/>
      <c r="E37" s="1"/>
      <c r="F37" s="1"/>
      <c r="G37" s="1" t="s">
        <v>171</v>
      </c>
      <c r="H37" s="1"/>
      <c r="I37" s="2">
        <v>2081.5700000000002</v>
      </c>
    </row>
    <row r="38" spans="1:9" x14ac:dyDescent="0.3">
      <c r="A38" s="1"/>
      <c r="B38" s="1"/>
      <c r="C38" s="1"/>
      <c r="D38" s="1"/>
      <c r="E38" s="1"/>
      <c r="F38" s="1"/>
      <c r="G38" s="1" t="s">
        <v>170</v>
      </c>
      <c r="H38" s="1"/>
      <c r="I38" s="2">
        <v>0</v>
      </c>
    </row>
    <row r="39" spans="1:9" x14ac:dyDescent="0.3">
      <c r="A39" s="1"/>
      <c r="B39" s="1"/>
      <c r="C39" s="1"/>
      <c r="D39" s="1"/>
      <c r="E39" s="1"/>
      <c r="F39" s="1"/>
      <c r="G39" s="1" t="s">
        <v>127</v>
      </c>
      <c r="H39" s="1"/>
      <c r="I39" s="2">
        <v>38501.47</v>
      </c>
    </row>
    <row r="40" spans="1:9" x14ac:dyDescent="0.3">
      <c r="A40" s="1"/>
      <c r="B40" s="1"/>
      <c r="C40" s="1"/>
      <c r="D40" s="1"/>
      <c r="E40" s="1"/>
      <c r="F40" s="1"/>
      <c r="G40" s="1" t="s">
        <v>126</v>
      </c>
      <c r="H40" s="1"/>
      <c r="I40" s="2">
        <v>138328.46</v>
      </c>
    </row>
    <row r="41" spans="1:9" x14ac:dyDescent="0.3">
      <c r="A41" s="1"/>
      <c r="B41" s="1"/>
      <c r="C41" s="1"/>
      <c r="D41" s="1"/>
      <c r="E41" s="1"/>
      <c r="F41" s="1"/>
      <c r="G41" s="1" t="s">
        <v>125</v>
      </c>
      <c r="H41" s="1"/>
      <c r="I41" s="2">
        <v>150536.51999999999</v>
      </c>
    </row>
    <row r="42" spans="1:9" x14ac:dyDescent="0.3">
      <c r="A42" s="1"/>
      <c r="B42" s="1"/>
      <c r="C42" s="1"/>
      <c r="D42" s="1"/>
      <c r="E42" s="1"/>
      <c r="F42" s="1"/>
      <c r="G42" s="1" t="s">
        <v>124</v>
      </c>
      <c r="H42" s="1"/>
      <c r="I42" s="2">
        <v>165</v>
      </c>
    </row>
    <row r="43" spans="1:9" ht="15" thickBot="1" x14ac:dyDescent="0.35">
      <c r="A43" s="1"/>
      <c r="B43" s="1"/>
      <c r="C43" s="1"/>
      <c r="D43" s="1"/>
      <c r="E43" s="1"/>
      <c r="F43" s="1"/>
      <c r="G43" s="1" t="s">
        <v>123</v>
      </c>
      <c r="H43" s="1"/>
      <c r="I43" s="4">
        <v>73905.31</v>
      </c>
    </row>
    <row r="44" spans="1:9" x14ac:dyDescent="0.3">
      <c r="A44" s="1"/>
      <c r="B44" s="1"/>
      <c r="C44" s="1"/>
      <c r="D44" s="1"/>
      <c r="E44" s="1"/>
      <c r="F44" s="1" t="s">
        <v>122</v>
      </c>
      <c r="G44" s="1"/>
      <c r="H44" s="1"/>
      <c r="I44" s="2">
        <f>ROUND(SUM(I33:I43),5)</f>
        <v>693392.27</v>
      </c>
    </row>
    <row r="45" spans="1:9" x14ac:dyDescent="0.3">
      <c r="A45" s="1"/>
      <c r="B45" s="1"/>
      <c r="C45" s="1"/>
      <c r="D45" s="1"/>
      <c r="E45" s="1"/>
      <c r="F45" s="1" t="s">
        <v>121</v>
      </c>
      <c r="G45" s="1"/>
      <c r="H45" s="1"/>
      <c r="I45" s="2"/>
    </row>
    <row r="46" spans="1:9" x14ac:dyDescent="0.3">
      <c r="A46" s="1"/>
      <c r="B46" s="1"/>
      <c r="C46" s="1"/>
      <c r="D46" s="1"/>
      <c r="E46" s="1"/>
      <c r="F46" s="1"/>
      <c r="G46" s="1" t="s">
        <v>120</v>
      </c>
      <c r="H46" s="1"/>
      <c r="I46" s="2">
        <v>1149957.92</v>
      </c>
    </row>
    <row r="47" spans="1:9" x14ac:dyDescent="0.3">
      <c r="A47" s="1"/>
      <c r="B47" s="1"/>
      <c r="C47" s="1"/>
      <c r="D47" s="1"/>
      <c r="E47" s="1"/>
      <c r="F47" s="1"/>
      <c r="G47" s="1" t="s">
        <v>119</v>
      </c>
      <c r="H47" s="1"/>
      <c r="I47" s="2">
        <v>28871.91</v>
      </c>
    </row>
    <row r="48" spans="1:9" x14ac:dyDescent="0.3">
      <c r="A48" s="1"/>
      <c r="B48" s="1"/>
      <c r="C48" s="1"/>
      <c r="D48" s="1"/>
      <c r="E48" s="1"/>
      <c r="F48" s="1"/>
      <c r="G48" s="1" t="s">
        <v>169</v>
      </c>
      <c r="H48" s="1"/>
      <c r="I48" s="2">
        <v>952</v>
      </c>
    </row>
    <row r="49" spans="1:9" x14ac:dyDescent="0.3">
      <c r="A49" s="1"/>
      <c r="B49" s="1"/>
      <c r="C49" s="1"/>
      <c r="D49" s="1"/>
      <c r="E49" s="1"/>
      <c r="F49" s="1"/>
      <c r="G49" s="1" t="s">
        <v>168</v>
      </c>
      <c r="H49" s="1"/>
      <c r="I49" s="2">
        <v>3805.74</v>
      </c>
    </row>
    <row r="50" spans="1:9" ht="15" thickBot="1" x14ac:dyDescent="0.35">
      <c r="A50" s="1"/>
      <c r="B50" s="1"/>
      <c r="C50" s="1"/>
      <c r="D50" s="1"/>
      <c r="E50" s="1"/>
      <c r="F50" s="1"/>
      <c r="G50" s="1" t="s">
        <v>118</v>
      </c>
      <c r="H50" s="1"/>
      <c r="I50" s="2">
        <v>57766.14</v>
      </c>
    </row>
    <row r="51" spans="1:9" ht="15" thickBot="1" x14ac:dyDescent="0.35">
      <c r="A51" s="1"/>
      <c r="B51" s="1"/>
      <c r="C51" s="1"/>
      <c r="D51" s="1"/>
      <c r="E51" s="1"/>
      <c r="F51" s="1" t="s">
        <v>117</v>
      </c>
      <c r="G51" s="1"/>
      <c r="H51" s="1"/>
      <c r="I51" s="5">
        <f>ROUND(SUM(I45:I50),5)</f>
        <v>1241353.71</v>
      </c>
    </row>
    <row r="52" spans="1:9" ht="15" thickBot="1" x14ac:dyDescent="0.35">
      <c r="A52" s="1"/>
      <c r="B52" s="1"/>
      <c r="C52" s="1"/>
      <c r="D52" s="1"/>
      <c r="E52" s="1" t="s">
        <v>116</v>
      </c>
      <c r="F52" s="1"/>
      <c r="G52" s="1"/>
      <c r="H52" s="1"/>
      <c r="I52" s="5">
        <f>ROUND(I22+I32+I44+I51,5)</f>
        <v>3281071.61</v>
      </c>
    </row>
    <row r="53" spans="1:9" ht="15" thickBot="1" x14ac:dyDescent="0.35">
      <c r="A53" s="1"/>
      <c r="B53" s="1"/>
      <c r="C53" s="1"/>
      <c r="D53" s="1" t="s">
        <v>115</v>
      </c>
      <c r="E53" s="1"/>
      <c r="F53" s="1"/>
      <c r="G53" s="1"/>
      <c r="H53" s="1"/>
      <c r="I53" s="3">
        <f>ROUND(I21+I52,5)</f>
        <v>3281071.61</v>
      </c>
    </row>
    <row r="54" spans="1:9" x14ac:dyDescent="0.3">
      <c r="A54" s="1"/>
      <c r="B54" s="1"/>
      <c r="C54" s="1" t="s">
        <v>114</v>
      </c>
      <c r="D54" s="1"/>
      <c r="E54" s="1"/>
      <c r="F54" s="1"/>
      <c r="G54" s="1"/>
      <c r="H54" s="1"/>
      <c r="I54" s="2">
        <f>ROUND(I20-I53,5)</f>
        <v>3272870.66</v>
      </c>
    </row>
    <row r="55" spans="1:9" x14ac:dyDescent="0.3">
      <c r="A55" s="1"/>
      <c r="B55" s="1"/>
      <c r="C55" s="1"/>
      <c r="D55" s="1" t="s">
        <v>113</v>
      </c>
      <c r="E55" s="1"/>
      <c r="F55" s="1"/>
      <c r="G55" s="1"/>
      <c r="H55" s="1"/>
      <c r="I55" s="2"/>
    </row>
    <row r="56" spans="1:9" x14ac:dyDescent="0.3">
      <c r="A56" s="1"/>
      <c r="B56" s="1"/>
      <c r="C56" s="1"/>
      <c r="D56" s="1"/>
      <c r="E56" s="1" t="s">
        <v>112</v>
      </c>
      <c r="F56" s="1"/>
      <c r="G56" s="1"/>
      <c r="H56" s="1"/>
      <c r="I56" s="2"/>
    </row>
    <row r="57" spans="1:9" x14ac:dyDescent="0.3">
      <c r="A57" s="1"/>
      <c r="B57" s="1"/>
      <c r="C57" s="1"/>
      <c r="D57" s="1"/>
      <c r="E57" s="1"/>
      <c r="F57" s="1" t="s">
        <v>111</v>
      </c>
      <c r="G57" s="1"/>
      <c r="H57" s="1"/>
      <c r="I57" s="2">
        <v>11849.4</v>
      </c>
    </row>
    <row r="58" spans="1:9" x14ac:dyDescent="0.3">
      <c r="A58" s="1"/>
      <c r="B58" s="1"/>
      <c r="C58" s="1"/>
      <c r="D58" s="1"/>
      <c r="E58" s="1"/>
      <c r="F58" s="1" t="s">
        <v>110</v>
      </c>
      <c r="G58" s="1"/>
      <c r="H58" s="1"/>
      <c r="I58" s="2"/>
    </row>
    <row r="59" spans="1:9" x14ac:dyDescent="0.3">
      <c r="A59" s="1"/>
      <c r="B59" s="1"/>
      <c r="C59" s="1"/>
      <c r="D59" s="1"/>
      <c r="E59" s="1"/>
      <c r="F59" s="1"/>
      <c r="G59" s="1" t="s">
        <v>109</v>
      </c>
      <c r="H59" s="1"/>
      <c r="I59" s="2">
        <v>6171.49</v>
      </c>
    </row>
    <row r="60" spans="1:9" x14ac:dyDescent="0.3">
      <c r="A60" s="1"/>
      <c r="B60" s="1"/>
      <c r="C60" s="1"/>
      <c r="D60" s="1"/>
      <c r="E60" s="1"/>
      <c r="F60" s="1"/>
      <c r="G60" s="1" t="s">
        <v>108</v>
      </c>
      <c r="H60" s="1"/>
      <c r="I60" s="2">
        <v>30324.52</v>
      </c>
    </row>
    <row r="61" spans="1:9" x14ac:dyDescent="0.3">
      <c r="A61" s="1"/>
      <c r="B61" s="1"/>
      <c r="C61" s="1"/>
      <c r="D61" s="1"/>
      <c r="E61" s="1"/>
      <c r="F61" s="1"/>
      <c r="G61" s="1" t="s">
        <v>107</v>
      </c>
      <c r="H61" s="1"/>
      <c r="I61" s="2">
        <v>13583.19</v>
      </c>
    </row>
    <row r="62" spans="1:9" ht="15" thickBot="1" x14ac:dyDescent="0.35">
      <c r="A62" s="1"/>
      <c r="B62" s="1"/>
      <c r="C62" s="1"/>
      <c r="D62" s="1"/>
      <c r="E62" s="1"/>
      <c r="F62" s="1"/>
      <c r="G62" s="1" t="s">
        <v>106</v>
      </c>
      <c r="H62" s="1"/>
      <c r="I62" s="4">
        <v>1013.15</v>
      </c>
    </row>
    <row r="63" spans="1:9" x14ac:dyDescent="0.3">
      <c r="A63" s="1"/>
      <c r="B63" s="1"/>
      <c r="C63" s="1"/>
      <c r="D63" s="1"/>
      <c r="E63" s="1"/>
      <c r="F63" s="1" t="s">
        <v>105</v>
      </c>
      <c r="G63" s="1"/>
      <c r="H63" s="1"/>
      <c r="I63" s="2">
        <f>ROUND(SUM(I58:I62),5)</f>
        <v>51092.35</v>
      </c>
    </row>
    <row r="64" spans="1:9" x14ac:dyDescent="0.3">
      <c r="A64" s="1"/>
      <c r="B64" s="1"/>
      <c r="C64" s="1"/>
      <c r="D64" s="1"/>
      <c r="E64" s="1"/>
      <c r="F64" s="1" t="s">
        <v>104</v>
      </c>
      <c r="G64" s="1"/>
      <c r="H64" s="1"/>
      <c r="I64" s="2">
        <v>42317.03</v>
      </c>
    </row>
    <row r="65" spans="1:9" x14ac:dyDescent="0.3">
      <c r="A65" s="1"/>
      <c r="B65" s="1"/>
      <c r="C65" s="1"/>
      <c r="D65" s="1"/>
      <c r="E65" s="1"/>
      <c r="F65" s="1" t="s">
        <v>103</v>
      </c>
      <c r="G65" s="1"/>
      <c r="H65" s="1"/>
      <c r="I65" s="2">
        <v>56310.62</v>
      </c>
    </row>
    <row r="66" spans="1:9" x14ac:dyDescent="0.3">
      <c r="A66" s="1"/>
      <c r="B66" s="1"/>
      <c r="C66" s="1"/>
      <c r="D66" s="1"/>
      <c r="E66" s="1"/>
      <c r="F66" s="1" t="s">
        <v>102</v>
      </c>
      <c r="G66" s="1"/>
      <c r="H66" s="1"/>
      <c r="I66" s="2">
        <v>50024.78</v>
      </c>
    </row>
    <row r="67" spans="1:9" x14ac:dyDescent="0.3">
      <c r="A67" s="1"/>
      <c r="B67" s="1"/>
      <c r="C67" s="1"/>
      <c r="D67" s="1"/>
      <c r="E67" s="1"/>
      <c r="F67" s="1" t="s">
        <v>101</v>
      </c>
      <c r="G67" s="1"/>
      <c r="H67" s="1"/>
      <c r="I67" s="2">
        <v>35373.93</v>
      </c>
    </row>
    <row r="68" spans="1:9" x14ac:dyDescent="0.3">
      <c r="A68" s="1"/>
      <c r="B68" s="1"/>
      <c r="C68" s="1"/>
      <c r="D68" s="1"/>
      <c r="E68" s="1"/>
      <c r="F68" s="1" t="s">
        <v>100</v>
      </c>
      <c r="G68" s="1"/>
      <c r="H68" s="1"/>
      <c r="I68" s="2"/>
    </row>
    <row r="69" spans="1:9" x14ac:dyDescent="0.3">
      <c r="A69" s="1"/>
      <c r="B69" s="1"/>
      <c r="C69" s="1"/>
      <c r="D69" s="1"/>
      <c r="E69" s="1"/>
      <c r="F69" s="1"/>
      <c r="G69" s="1" t="s">
        <v>99</v>
      </c>
      <c r="H69" s="1"/>
      <c r="I69" s="2">
        <v>12129.32</v>
      </c>
    </row>
    <row r="70" spans="1:9" x14ac:dyDescent="0.3">
      <c r="A70" s="1"/>
      <c r="B70" s="1"/>
      <c r="C70" s="1"/>
      <c r="D70" s="1"/>
      <c r="E70" s="1"/>
      <c r="F70" s="1"/>
      <c r="G70" s="1" t="s">
        <v>98</v>
      </c>
      <c r="H70" s="1"/>
      <c r="I70" s="2">
        <v>8518.5400000000009</v>
      </c>
    </row>
    <row r="71" spans="1:9" x14ac:dyDescent="0.3">
      <c r="A71" s="1"/>
      <c r="B71" s="1"/>
      <c r="C71" s="1"/>
      <c r="D71" s="1"/>
      <c r="E71" s="1"/>
      <c r="F71" s="1"/>
      <c r="G71" s="1" t="s">
        <v>97</v>
      </c>
      <c r="H71" s="1"/>
      <c r="I71" s="2">
        <v>8831.92</v>
      </c>
    </row>
    <row r="72" spans="1:9" x14ac:dyDescent="0.3">
      <c r="A72" s="1"/>
      <c r="B72" s="1"/>
      <c r="C72" s="1"/>
      <c r="D72" s="1"/>
      <c r="E72" s="1"/>
      <c r="F72" s="1"/>
      <c r="G72" s="1" t="s">
        <v>96</v>
      </c>
      <c r="H72" s="1"/>
      <c r="I72" s="2">
        <v>11451.87</v>
      </c>
    </row>
    <row r="73" spans="1:9" ht="15" thickBot="1" x14ac:dyDescent="0.35">
      <c r="A73" s="1"/>
      <c r="B73" s="1"/>
      <c r="C73" s="1"/>
      <c r="D73" s="1"/>
      <c r="E73" s="1"/>
      <c r="F73" s="1"/>
      <c r="G73" s="1" t="s">
        <v>95</v>
      </c>
      <c r="H73" s="1"/>
      <c r="I73" s="4">
        <v>9111.57</v>
      </c>
    </row>
    <row r="74" spans="1:9" x14ac:dyDescent="0.3">
      <c r="A74" s="1"/>
      <c r="B74" s="1"/>
      <c r="C74" s="1"/>
      <c r="D74" s="1"/>
      <c r="E74" s="1"/>
      <c r="F74" s="1" t="s">
        <v>94</v>
      </c>
      <c r="G74" s="1"/>
      <c r="H74" s="1"/>
      <c r="I74" s="2">
        <f>ROUND(SUM(I68:I73),5)</f>
        <v>50043.22</v>
      </c>
    </row>
    <row r="75" spans="1:9" ht="15" thickBot="1" x14ac:dyDescent="0.35">
      <c r="A75" s="1"/>
      <c r="B75" s="1"/>
      <c r="C75" s="1"/>
      <c r="D75" s="1"/>
      <c r="E75" s="1"/>
      <c r="F75" s="1" t="s">
        <v>93</v>
      </c>
      <c r="G75" s="1"/>
      <c r="H75" s="1"/>
      <c r="I75" s="4">
        <v>542.11</v>
      </c>
    </row>
    <row r="76" spans="1:9" x14ac:dyDescent="0.3">
      <c r="A76" s="1"/>
      <c r="B76" s="1"/>
      <c r="C76" s="1"/>
      <c r="D76" s="1"/>
      <c r="E76" s="1" t="s">
        <v>92</v>
      </c>
      <c r="F76" s="1"/>
      <c r="G76" s="1"/>
      <c r="H76" s="1"/>
      <c r="I76" s="2">
        <f>ROUND(SUM(I56:I57)+SUM(I63:I67)+SUM(I74:I75),5)</f>
        <v>297553.44</v>
      </c>
    </row>
    <row r="77" spans="1:9" x14ac:dyDescent="0.3">
      <c r="A77" s="1"/>
      <c r="B77" s="1"/>
      <c r="C77" s="1"/>
      <c r="D77" s="1"/>
      <c r="E77" s="1" t="s">
        <v>91</v>
      </c>
      <c r="F77" s="1"/>
      <c r="G77" s="1"/>
      <c r="H77" s="1"/>
      <c r="I77" s="2"/>
    </row>
    <row r="78" spans="1:9" x14ac:dyDescent="0.3">
      <c r="A78" s="1"/>
      <c r="B78" s="1"/>
      <c r="C78" s="1"/>
      <c r="D78" s="1"/>
      <c r="E78" s="1"/>
      <c r="F78" s="1" t="s">
        <v>90</v>
      </c>
      <c r="G78" s="1"/>
      <c r="H78" s="1"/>
      <c r="I78" s="2">
        <v>20678.37</v>
      </c>
    </row>
    <row r="79" spans="1:9" x14ac:dyDescent="0.3">
      <c r="A79" s="1"/>
      <c r="B79" s="1"/>
      <c r="C79" s="1"/>
      <c r="D79" s="1"/>
      <c r="E79" s="1"/>
      <c r="F79" s="1" t="s">
        <v>89</v>
      </c>
      <c r="G79" s="1"/>
      <c r="H79" s="1"/>
      <c r="I79" s="2">
        <v>81196.78</v>
      </c>
    </row>
    <row r="80" spans="1:9" x14ac:dyDescent="0.3">
      <c r="A80" s="1"/>
      <c r="B80" s="1"/>
      <c r="C80" s="1"/>
      <c r="D80" s="1"/>
      <c r="E80" s="1"/>
      <c r="F80" s="1" t="s">
        <v>88</v>
      </c>
      <c r="G80" s="1"/>
      <c r="H80" s="1"/>
      <c r="I80" s="2">
        <v>7450.64</v>
      </c>
    </row>
    <row r="81" spans="1:9" x14ac:dyDescent="0.3">
      <c r="A81" s="1"/>
      <c r="B81" s="1"/>
      <c r="C81" s="1"/>
      <c r="D81" s="1"/>
      <c r="E81" s="1"/>
      <c r="F81" s="1" t="s">
        <v>87</v>
      </c>
      <c r="G81" s="1"/>
      <c r="H81" s="1"/>
      <c r="I81" s="2">
        <v>15548.62</v>
      </c>
    </row>
    <row r="82" spans="1:9" x14ac:dyDescent="0.3">
      <c r="A82" s="1"/>
      <c r="B82" s="1"/>
      <c r="C82" s="1"/>
      <c r="D82" s="1"/>
      <c r="E82" s="1"/>
      <c r="F82" s="1" t="s">
        <v>86</v>
      </c>
      <c r="G82" s="1"/>
      <c r="H82" s="1"/>
      <c r="I82" s="2">
        <v>40117.26</v>
      </c>
    </row>
    <row r="83" spans="1:9" x14ac:dyDescent="0.3">
      <c r="A83" s="1"/>
      <c r="B83" s="1"/>
      <c r="C83" s="1"/>
      <c r="D83" s="1"/>
      <c r="E83" s="1"/>
      <c r="F83" s="1" t="s">
        <v>85</v>
      </c>
      <c r="G83" s="1"/>
      <c r="H83" s="1"/>
      <c r="I83" s="2"/>
    </row>
    <row r="84" spans="1:9" x14ac:dyDescent="0.3">
      <c r="A84" s="1"/>
      <c r="B84" s="1"/>
      <c r="C84" s="1"/>
      <c r="D84" s="1"/>
      <c r="E84" s="1"/>
      <c r="F84" s="1"/>
      <c r="G84" s="1" t="s">
        <v>84</v>
      </c>
      <c r="H84" s="1"/>
      <c r="I84" s="2">
        <v>23978.47</v>
      </c>
    </row>
    <row r="85" spans="1:9" x14ac:dyDescent="0.3">
      <c r="A85" s="1"/>
      <c r="B85" s="1"/>
      <c r="C85" s="1"/>
      <c r="D85" s="1"/>
      <c r="E85" s="1"/>
      <c r="F85" s="1"/>
      <c r="G85" s="1" t="s">
        <v>83</v>
      </c>
      <c r="H85" s="1"/>
      <c r="I85" s="2">
        <v>35270.410000000003</v>
      </c>
    </row>
    <row r="86" spans="1:9" x14ac:dyDescent="0.3">
      <c r="A86" s="1"/>
      <c r="B86" s="1"/>
      <c r="C86" s="1"/>
      <c r="D86" s="1"/>
      <c r="E86" s="1"/>
      <c r="F86" s="1"/>
      <c r="G86" s="1" t="s">
        <v>82</v>
      </c>
      <c r="H86" s="1"/>
      <c r="I86" s="2">
        <v>2900.73</v>
      </c>
    </row>
    <row r="87" spans="1:9" x14ac:dyDescent="0.3">
      <c r="A87" s="1"/>
      <c r="B87" s="1"/>
      <c r="C87" s="1"/>
      <c r="D87" s="1"/>
      <c r="E87" s="1"/>
      <c r="F87" s="1"/>
      <c r="G87" s="1" t="s">
        <v>81</v>
      </c>
      <c r="H87" s="1"/>
      <c r="I87" s="2">
        <v>10591.19</v>
      </c>
    </row>
    <row r="88" spans="1:9" x14ac:dyDescent="0.3">
      <c r="A88" s="1"/>
      <c r="B88" s="1"/>
      <c r="C88" s="1"/>
      <c r="D88" s="1"/>
      <c r="E88" s="1"/>
      <c r="F88" s="1"/>
      <c r="G88" s="1" t="s">
        <v>80</v>
      </c>
      <c r="H88" s="1"/>
      <c r="I88" s="2">
        <v>21939.19</v>
      </c>
    </row>
    <row r="89" spans="1:9" ht="15" thickBot="1" x14ac:dyDescent="0.35">
      <c r="A89" s="1"/>
      <c r="B89" s="1"/>
      <c r="C89" s="1"/>
      <c r="D89" s="1"/>
      <c r="E89" s="1"/>
      <c r="F89" s="1"/>
      <c r="G89" s="1" t="s">
        <v>167</v>
      </c>
      <c r="H89" s="1"/>
      <c r="I89" s="4">
        <v>4418.16</v>
      </c>
    </row>
    <row r="90" spans="1:9" x14ac:dyDescent="0.3">
      <c r="A90" s="1"/>
      <c r="B90" s="1"/>
      <c r="C90" s="1"/>
      <c r="D90" s="1"/>
      <c r="E90" s="1"/>
      <c r="F90" s="1" t="s">
        <v>79</v>
      </c>
      <c r="G90" s="1"/>
      <c r="H90" s="1"/>
      <c r="I90" s="2">
        <f>ROUND(SUM(I83:I89),5)</f>
        <v>99098.15</v>
      </c>
    </row>
    <row r="91" spans="1:9" x14ac:dyDescent="0.3">
      <c r="A91" s="1"/>
      <c r="B91" s="1"/>
      <c r="C91" s="1"/>
      <c r="D91" s="1"/>
      <c r="E91" s="1"/>
      <c r="F91" s="1" t="s">
        <v>78</v>
      </c>
      <c r="G91" s="1"/>
      <c r="H91" s="1"/>
      <c r="I91" s="2"/>
    </row>
    <row r="92" spans="1:9" x14ac:dyDescent="0.3">
      <c r="A92" s="1"/>
      <c r="B92" s="1"/>
      <c r="C92" s="1"/>
      <c r="D92" s="1"/>
      <c r="E92" s="1"/>
      <c r="F92" s="1"/>
      <c r="G92" s="1" t="s">
        <v>77</v>
      </c>
      <c r="H92" s="1"/>
      <c r="I92" s="2">
        <v>20250</v>
      </c>
    </row>
    <row r="93" spans="1:9" x14ac:dyDescent="0.3">
      <c r="A93" s="1"/>
      <c r="B93" s="1"/>
      <c r="C93" s="1"/>
      <c r="D93" s="1"/>
      <c r="E93" s="1"/>
      <c r="F93" s="1"/>
      <c r="G93" s="1" t="s">
        <v>76</v>
      </c>
      <c r="H93" s="1"/>
      <c r="I93" s="2">
        <v>16098.41</v>
      </c>
    </row>
    <row r="94" spans="1:9" ht="15" thickBot="1" x14ac:dyDescent="0.35">
      <c r="A94" s="1"/>
      <c r="B94" s="1"/>
      <c r="C94" s="1"/>
      <c r="D94" s="1"/>
      <c r="E94" s="1"/>
      <c r="F94" s="1"/>
      <c r="G94" s="1" t="s">
        <v>75</v>
      </c>
      <c r="H94" s="1"/>
      <c r="I94" s="4">
        <v>30500</v>
      </c>
    </row>
    <row r="95" spans="1:9" x14ac:dyDescent="0.3">
      <c r="A95" s="1"/>
      <c r="B95" s="1"/>
      <c r="C95" s="1"/>
      <c r="D95" s="1"/>
      <c r="E95" s="1"/>
      <c r="F95" s="1" t="s">
        <v>74</v>
      </c>
      <c r="G95" s="1"/>
      <c r="H95" s="1"/>
      <c r="I95" s="2">
        <f>ROUND(SUM(I91:I94),5)</f>
        <v>66848.41</v>
      </c>
    </row>
    <row r="96" spans="1:9" x14ac:dyDescent="0.3">
      <c r="A96" s="1"/>
      <c r="B96" s="1"/>
      <c r="C96" s="1"/>
      <c r="D96" s="1"/>
      <c r="E96" s="1"/>
      <c r="F96" s="1" t="s">
        <v>73</v>
      </c>
      <c r="G96" s="1"/>
      <c r="H96" s="1"/>
      <c r="I96" s="2"/>
    </row>
    <row r="97" spans="1:9" x14ac:dyDescent="0.3">
      <c r="A97" s="1"/>
      <c r="B97" s="1"/>
      <c r="C97" s="1"/>
      <c r="D97" s="1"/>
      <c r="E97" s="1"/>
      <c r="F97" s="1"/>
      <c r="G97" s="1" t="s">
        <v>72</v>
      </c>
      <c r="H97" s="1"/>
      <c r="I97" s="2">
        <v>8850.81</v>
      </c>
    </row>
    <row r="98" spans="1:9" x14ac:dyDescent="0.3">
      <c r="A98" s="1"/>
      <c r="B98" s="1"/>
      <c r="C98" s="1"/>
      <c r="D98" s="1"/>
      <c r="E98" s="1"/>
      <c r="F98" s="1"/>
      <c r="G98" s="1" t="s">
        <v>71</v>
      </c>
      <c r="H98" s="1"/>
      <c r="I98" s="2">
        <v>117662.77</v>
      </c>
    </row>
    <row r="99" spans="1:9" x14ac:dyDescent="0.3">
      <c r="A99" s="1"/>
      <c r="B99" s="1"/>
      <c r="C99" s="1"/>
      <c r="D99" s="1"/>
      <c r="E99" s="1"/>
      <c r="F99" s="1"/>
      <c r="G99" s="1" t="s">
        <v>70</v>
      </c>
      <c r="H99" s="1"/>
      <c r="I99" s="2">
        <v>15213.77</v>
      </c>
    </row>
    <row r="100" spans="1:9" x14ac:dyDescent="0.3">
      <c r="A100" s="1"/>
      <c r="B100" s="1"/>
      <c r="C100" s="1"/>
      <c r="D100" s="1"/>
      <c r="E100" s="1"/>
      <c r="F100" s="1"/>
      <c r="G100" s="1" t="s">
        <v>69</v>
      </c>
      <c r="H100" s="1"/>
      <c r="I100" s="2"/>
    </row>
    <row r="101" spans="1:9" x14ac:dyDescent="0.3">
      <c r="A101" s="1"/>
      <c r="B101" s="1"/>
      <c r="C101" s="1"/>
      <c r="D101" s="1"/>
      <c r="E101" s="1"/>
      <c r="F101" s="1"/>
      <c r="G101" s="1"/>
      <c r="H101" s="1" t="s">
        <v>68</v>
      </c>
      <c r="I101" s="2">
        <v>28151.11</v>
      </c>
    </row>
    <row r="102" spans="1:9" ht="15" thickBot="1" x14ac:dyDescent="0.35">
      <c r="A102" s="1"/>
      <c r="B102" s="1"/>
      <c r="C102" s="1"/>
      <c r="D102" s="1"/>
      <c r="E102" s="1"/>
      <c r="F102" s="1"/>
      <c r="G102" s="1"/>
      <c r="H102" s="1" t="s">
        <v>67</v>
      </c>
      <c r="I102" s="4">
        <v>25727.97</v>
      </c>
    </row>
    <row r="103" spans="1:9" x14ac:dyDescent="0.3">
      <c r="A103" s="1"/>
      <c r="B103" s="1"/>
      <c r="C103" s="1"/>
      <c r="D103" s="1"/>
      <c r="E103" s="1"/>
      <c r="F103" s="1"/>
      <c r="G103" s="1" t="s">
        <v>66</v>
      </c>
      <c r="H103" s="1"/>
      <c r="I103" s="2">
        <f>ROUND(SUM(I100:I102),5)</f>
        <v>53879.08</v>
      </c>
    </row>
    <row r="104" spans="1:9" ht="15" thickBot="1" x14ac:dyDescent="0.35">
      <c r="A104" s="1"/>
      <c r="B104" s="1"/>
      <c r="C104" s="1"/>
      <c r="D104" s="1"/>
      <c r="E104" s="1"/>
      <c r="F104" s="1"/>
      <c r="G104" s="1" t="s">
        <v>65</v>
      </c>
      <c r="H104" s="1"/>
      <c r="I104" s="4">
        <v>2066.08</v>
      </c>
    </row>
    <row r="105" spans="1:9" x14ac:dyDescent="0.3">
      <c r="A105" s="1"/>
      <c r="B105" s="1"/>
      <c r="C105" s="1"/>
      <c r="D105" s="1"/>
      <c r="E105" s="1"/>
      <c r="F105" s="1" t="s">
        <v>64</v>
      </c>
      <c r="G105" s="1"/>
      <c r="H105" s="1"/>
      <c r="I105" s="2">
        <f>ROUND(SUM(I96:I99)+SUM(I103:I104),5)</f>
        <v>197672.51</v>
      </c>
    </row>
    <row r="106" spans="1:9" x14ac:dyDescent="0.3">
      <c r="A106" s="1"/>
      <c r="B106" s="1"/>
      <c r="C106" s="1"/>
      <c r="D106" s="1"/>
      <c r="E106" s="1"/>
      <c r="F106" s="1" t="s">
        <v>63</v>
      </c>
      <c r="G106" s="1"/>
      <c r="H106" s="1"/>
      <c r="I106" s="2"/>
    </row>
    <row r="107" spans="1:9" x14ac:dyDescent="0.3">
      <c r="A107" s="1"/>
      <c r="B107" s="1"/>
      <c r="C107" s="1"/>
      <c r="D107" s="1"/>
      <c r="E107" s="1"/>
      <c r="F107" s="1"/>
      <c r="G107" s="1" t="s">
        <v>62</v>
      </c>
      <c r="H107" s="1"/>
      <c r="I107" s="2"/>
    </row>
    <row r="108" spans="1:9" x14ac:dyDescent="0.3">
      <c r="A108" s="1"/>
      <c r="B108" s="1"/>
      <c r="C108" s="1"/>
      <c r="D108" s="1"/>
      <c r="E108" s="1"/>
      <c r="F108" s="1"/>
      <c r="G108" s="1"/>
      <c r="H108" s="1" t="s">
        <v>61</v>
      </c>
      <c r="I108" s="2">
        <v>161823.35999999999</v>
      </c>
    </row>
    <row r="109" spans="1:9" x14ac:dyDescent="0.3">
      <c r="A109" s="1"/>
      <c r="B109" s="1"/>
      <c r="C109" s="1"/>
      <c r="D109" s="1"/>
      <c r="E109" s="1"/>
      <c r="F109" s="1"/>
      <c r="G109" s="1"/>
      <c r="H109" s="1" t="s">
        <v>60</v>
      </c>
      <c r="I109" s="2">
        <v>238358.97</v>
      </c>
    </row>
    <row r="110" spans="1:9" x14ac:dyDescent="0.3">
      <c r="A110" s="1"/>
      <c r="B110" s="1"/>
      <c r="C110" s="1"/>
      <c r="D110" s="1"/>
      <c r="E110" s="1"/>
      <c r="F110" s="1"/>
      <c r="G110" s="1"/>
      <c r="H110" s="1" t="s">
        <v>59</v>
      </c>
      <c r="I110" s="2">
        <v>186415.46</v>
      </c>
    </row>
    <row r="111" spans="1:9" x14ac:dyDescent="0.3">
      <c r="A111" s="1"/>
      <c r="B111" s="1"/>
      <c r="C111" s="1"/>
      <c r="D111" s="1"/>
      <c r="E111" s="1"/>
      <c r="F111" s="1"/>
      <c r="G111" s="1"/>
      <c r="H111" s="1" t="s">
        <v>58</v>
      </c>
      <c r="I111" s="2">
        <v>253383.66</v>
      </c>
    </row>
    <row r="112" spans="1:9" ht="15" thickBot="1" x14ac:dyDescent="0.35">
      <c r="A112" s="1"/>
      <c r="B112" s="1"/>
      <c r="C112" s="1"/>
      <c r="D112" s="1"/>
      <c r="E112" s="1"/>
      <c r="F112" s="1"/>
      <c r="G112" s="1"/>
      <c r="H112" s="1" t="s">
        <v>57</v>
      </c>
      <c r="I112" s="4">
        <v>5820.62</v>
      </c>
    </row>
    <row r="113" spans="1:9" x14ac:dyDescent="0.3">
      <c r="A113" s="1"/>
      <c r="B113" s="1"/>
      <c r="C113" s="1"/>
      <c r="D113" s="1"/>
      <c r="E113" s="1"/>
      <c r="F113" s="1"/>
      <c r="G113" s="1" t="s">
        <v>56</v>
      </c>
      <c r="H113" s="1"/>
      <c r="I113" s="2">
        <f>ROUND(SUM(I107:I112),5)</f>
        <v>845802.07</v>
      </c>
    </row>
    <row r="114" spans="1:9" x14ac:dyDescent="0.3">
      <c r="A114" s="1"/>
      <c r="B114" s="1"/>
      <c r="C114" s="1"/>
      <c r="D114" s="1"/>
      <c r="E114" s="1"/>
      <c r="F114" s="1"/>
      <c r="G114" s="1" t="s">
        <v>55</v>
      </c>
      <c r="H114" s="1"/>
      <c r="I114" s="2">
        <v>68019.8</v>
      </c>
    </row>
    <row r="115" spans="1:9" ht="15" thickBot="1" x14ac:dyDescent="0.35">
      <c r="A115" s="1"/>
      <c r="B115" s="1"/>
      <c r="C115" s="1"/>
      <c r="D115" s="1"/>
      <c r="E115" s="1"/>
      <c r="F115" s="1"/>
      <c r="G115" s="1" t="s">
        <v>54</v>
      </c>
      <c r="H115" s="1"/>
      <c r="I115" s="4">
        <v>63385.98</v>
      </c>
    </row>
    <row r="116" spans="1:9" x14ac:dyDescent="0.3">
      <c r="A116" s="1"/>
      <c r="B116" s="1"/>
      <c r="C116" s="1"/>
      <c r="D116" s="1"/>
      <c r="E116" s="1"/>
      <c r="F116" s="1" t="s">
        <v>53</v>
      </c>
      <c r="G116" s="1"/>
      <c r="H116" s="1"/>
      <c r="I116" s="2">
        <f>ROUND(I106+SUM(I113:I115),5)</f>
        <v>977207.85</v>
      </c>
    </row>
    <row r="117" spans="1:9" x14ac:dyDescent="0.3">
      <c r="A117" s="1"/>
      <c r="B117" s="1"/>
      <c r="C117" s="1"/>
      <c r="D117" s="1"/>
      <c r="E117" s="1"/>
      <c r="F117" s="1" t="s">
        <v>52</v>
      </c>
      <c r="G117" s="1"/>
      <c r="H117" s="1"/>
      <c r="I117" s="2">
        <v>7181</v>
      </c>
    </row>
    <row r="118" spans="1:9" x14ac:dyDescent="0.3">
      <c r="A118" s="1"/>
      <c r="B118" s="1"/>
      <c r="C118" s="1"/>
      <c r="D118" s="1"/>
      <c r="E118" s="1"/>
      <c r="F118" s="1" t="s">
        <v>51</v>
      </c>
      <c r="G118" s="1"/>
      <c r="H118" s="1"/>
      <c r="I118" s="2">
        <v>161945.93</v>
      </c>
    </row>
    <row r="119" spans="1:9" x14ac:dyDescent="0.3">
      <c r="A119" s="1"/>
      <c r="B119" s="1"/>
      <c r="C119" s="1"/>
      <c r="D119" s="1"/>
      <c r="E119" s="1"/>
      <c r="F119" s="1" t="s">
        <v>50</v>
      </c>
      <c r="G119" s="1"/>
      <c r="H119" s="1"/>
      <c r="I119" s="2">
        <v>2087.96</v>
      </c>
    </row>
    <row r="120" spans="1:9" x14ac:dyDescent="0.3">
      <c r="A120" s="1"/>
      <c r="B120" s="1"/>
      <c r="C120" s="1"/>
      <c r="D120" s="1"/>
      <c r="E120" s="1"/>
      <c r="F120" s="1" t="s">
        <v>49</v>
      </c>
      <c r="G120" s="1"/>
      <c r="H120" s="1"/>
      <c r="I120" s="2"/>
    </row>
    <row r="121" spans="1:9" x14ac:dyDescent="0.3">
      <c r="A121" s="1"/>
      <c r="B121" s="1"/>
      <c r="C121" s="1"/>
      <c r="D121" s="1"/>
      <c r="E121" s="1"/>
      <c r="F121" s="1"/>
      <c r="G121" s="1" t="s">
        <v>48</v>
      </c>
      <c r="H121" s="1"/>
      <c r="I121" s="2">
        <v>8515.68</v>
      </c>
    </row>
    <row r="122" spans="1:9" x14ac:dyDescent="0.3">
      <c r="A122" s="1"/>
      <c r="B122" s="1"/>
      <c r="C122" s="1"/>
      <c r="D122" s="1"/>
      <c r="E122" s="1"/>
      <c r="F122" s="1"/>
      <c r="G122" s="1" t="s">
        <v>47</v>
      </c>
      <c r="H122" s="1"/>
      <c r="I122" s="2">
        <v>81891.570000000007</v>
      </c>
    </row>
    <row r="123" spans="1:9" x14ac:dyDescent="0.3">
      <c r="A123" s="1"/>
      <c r="B123" s="1"/>
      <c r="C123" s="1"/>
      <c r="D123" s="1"/>
      <c r="E123" s="1"/>
      <c r="F123" s="1"/>
      <c r="G123" s="1" t="s">
        <v>46</v>
      </c>
      <c r="H123" s="1"/>
      <c r="I123" s="2">
        <v>35574.910000000003</v>
      </c>
    </row>
    <row r="124" spans="1:9" x14ac:dyDescent="0.3">
      <c r="A124" s="1"/>
      <c r="B124" s="1"/>
      <c r="C124" s="1"/>
      <c r="D124" s="1"/>
      <c r="E124" s="1"/>
      <c r="F124" s="1"/>
      <c r="G124" s="1" t="s">
        <v>45</v>
      </c>
      <c r="H124" s="1"/>
      <c r="I124" s="2">
        <v>12118.55</v>
      </c>
    </row>
    <row r="125" spans="1:9" x14ac:dyDescent="0.3">
      <c r="A125" s="1"/>
      <c r="B125" s="1"/>
      <c r="C125" s="1"/>
      <c r="D125" s="1"/>
      <c r="E125" s="1"/>
      <c r="F125" s="1"/>
      <c r="G125" s="1" t="s">
        <v>44</v>
      </c>
      <c r="H125" s="1"/>
      <c r="I125" s="2">
        <v>16305.91</v>
      </c>
    </row>
    <row r="126" spans="1:9" x14ac:dyDescent="0.3">
      <c r="A126" s="1"/>
      <c r="B126" s="1"/>
      <c r="C126" s="1"/>
      <c r="D126" s="1"/>
      <c r="E126" s="1"/>
      <c r="F126" s="1"/>
      <c r="G126" s="1" t="s">
        <v>43</v>
      </c>
      <c r="H126" s="1"/>
      <c r="I126" s="2">
        <v>2543.6</v>
      </c>
    </row>
    <row r="127" spans="1:9" x14ac:dyDescent="0.3">
      <c r="A127" s="1"/>
      <c r="B127" s="1"/>
      <c r="C127" s="1"/>
      <c r="D127" s="1"/>
      <c r="E127" s="1"/>
      <c r="F127" s="1"/>
      <c r="G127" s="1" t="s">
        <v>42</v>
      </c>
      <c r="H127" s="1"/>
      <c r="I127" s="2">
        <v>27775</v>
      </c>
    </row>
    <row r="128" spans="1:9" ht="15" thickBot="1" x14ac:dyDescent="0.35">
      <c r="A128" s="1"/>
      <c r="B128" s="1"/>
      <c r="C128" s="1"/>
      <c r="D128" s="1"/>
      <c r="E128" s="1"/>
      <c r="F128" s="1"/>
      <c r="G128" s="1" t="s">
        <v>41</v>
      </c>
      <c r="H128" s="1"/>
      <c r="I128" s="4">
        <v>776.07</v>
      </c>
    </row>
    <row r="129" spans="1:9" x14ac:dyDescent="0.3">
      <c r="A129" s="1"/>
      <c r="B129" s="1"/>
      <c r="C129" s="1"/>
      <c r="D129" s="1"/>
      <c r="E129" s="1"/>
      <c r="F129" s="1" t="s">
        <v>40</v>
      </c>
      <c r="G129" s="1"/>
      <c r="H129" s="1"/>
      <c r="I129" s="2">
        <f>ROUND(SUM(I120:I128),5)</f>
        <v>185501.29</v>
      </c>
    </row>
    <row r="130" spans="1:9" x14ac:dyDescent="0.3">
      <c r="A130" s="1"/>
      <c r="B130" s="1"/>
      <c r="C130" s="1"/>
      <c r="D130" s="1"/>
      <c r="E130" s="1"/>
      <c r="F130" s="1" t="s">
        <v>39</v>
      </c>
      <c r="G130" s="1"/>
      <c r="H130" s="1"/>
      <c r="I130" s="2">
        <v>5491.91</v>
      </c>
    </row>
    <row r="131" spans="1:9" ht="15" thickBot="1" x14ac:dyDescent="0.35">
      <c r="A131" s="1"/>
      <c r="B131" s="1"/>
      <c r="C131" s="1"/>
      <c r="D131" s="1"/>
      <c r="E131" s="1"/>
      <c r="F131" s="1" t="s">
        <v>166</v>
      </c>
      <c r="G131" s="1"/>
      <c r="H131" s="1"/>
      <c r="I131" s="4">
        <v>-5848</v>
      </c>
    </row>
    <row r="132" spans="1:9" x14ac:dyDescent="0.3">
      <c r="A132" s="1"/>
      <c r="B132" s="1"/>
      <c r="C132" s="1"/>
      <c r="D132" s="1"/>
      <c r="E132" s="1" t="s">
        <v>38</v>
      </c>
      <c r="F132" s="1"/>
      <c r="G132" s="1"/>
      <c r="H132" s="1"/>
      <c r="I132" s="2">
        <f>ROUND(SUM(I77:I82)+I90+I95+I105+SUM(I116:I119)+SUM(I129:I131),5)</f>
        <v>1862178.68</v>
      </c>
    </row>
    <row r="133" spans="1:9" x14ac:dyDescent="0.3">
      <c r="A133" s="1"/>
      <c r="B133" s="1"/>
      <c r="C133" s="1"/>
      <c r="D133" s="1"/>
      <c r="E133" s="1" t="s">
        <v>37</v>
      </c>
      <c r="F133" s="1"/>
      <c r="G133" s="1"/>
      <c r="H133" s="1"/>
      <c r="I133" s="2"/>
    </row>
    <row r="134" spans="1:9" x14ac:dyDescent="0.3">
      <c r="A134" s="1"/>
      <c r="B134" s="1"/>
      <c r="C134" s="1"/>
      <c r="D134" s="1"/>
      <c r="E134" s="1"/>
      <c r="F134" s="1" t="s">
        <v>36</v>
      </c>
      <c r="G134" s="1"/>
      <c r="H134" s="1"/>
      <c r="I134" s="2">
        <v>5491.25</v>
      </c>
    </row>
    <row r="135" spans="1:9" x14ac:dyDescent="0.3">
      <c r="A135" s="1"/>
      <c r="B135" s="1"/>
      <c r="C135" s="1"/>
      <c r="D135" s="1"/>
      <c r="E135" s="1"/>
      <c r="F135" s="1" t="s">
        <v>35</v>
      </c>
      <c r="G135" s="1"/>
      <c r="H135" s="1"/>
      <c r="I135" s="2">
        <v>28607.21</v>
      </c>
    </row>
    <row r="136" spans="1:9" x14ac:dyDescent="0.3">
      <c r="A136" s="1"/>
      <c r="B136" s="1"/>
      <c r="C136" s="1"/>
      <c r="D136" s="1"/>
      <c r="E136" s="1"/>
      <c r="F136" s="1" t="s">
        <v>34</v>
      </c>
      <c r="G136" s="1"/>
      <c r="H136" s="1"/>
      <c r="I136" s="2">
        <v>9452.0300000000007</v>
      </c>
    </row>
    <row r="137" spans="1:9" x14ac:dyDescent="0.3">
      <c r="A137" s="1"/>
      <c r="B137" s="1"/>
      <c r="C137" s="1"/>
      <c r="D137" s="1"/>
      <c r="E137" s="1"/>
      <c r="F137" s="1" t="s">
        <v>165</v>
      </c>
      <c r="G137" s="1"/>
      <c r="H137" s="1"/>
      <c r="I137" s="2">
        <v>316.3</v>
      </c>
    </row>
    <row r="138" spans="1:9" x14ac:dyDescent="0.3">
      <c r="A138" s="1"/>
      <c r="B138" s="1"/>
      <c r="C138" s="1"/>
      <c r="D138" s="1"/>
      <c r="E138" s="1"/>
      <c r="F138" s="1" t="s">
        <v>33</v>
      </c>
      <c r="G138" s="1"/>
      <c r="H138" s="1"/>
      <c r="I138" s="2">
        <v>16624.740000000002</v>
      </c>
    </row>
    <row r="139" spans="1:9" x14ac:dyDescent="0.3">
      <c r="A139" s="1"/>
      <c r="B139" s="1"/>
      <c r="C139" s="1"/>
      <c r="D139" s="1"/>
      <c r="E139" s="1"/>
      <c r="F139" s="1" t="s">
        <v>32</v>
      </c>
      <c r="G139" s="1"/>
      <c r="H139" s="1"/>
      <c r="I139" s="2">
        <v>28878.01</v>
      </c>
    </row>
    <row r="140" spans="1:9" x14ac:dyDescent="0.3">
      <c r="A140" s="1"/>
      <c r="B140" s="1"/>
      <c r="C140" s="1"/>
      <c r="D140" s="1"/>
      <c r="E140" s="1"/>
      <c r="F140" s="1" t="s">
        <v>31</v>
      </c>
      <c r="G140" s="1"/>
      <c r="H140" s="1"/>
      <c r="I140" s="2">
        <v>19338.47</v>
      </c>
    </row>
    <row r="141" spans="1:9" x14ac:dyDescent="0.3">
      <c r="A141" s="1"/>
      <c r="B141" s="1"/>
      <c r="C141" s="1"/>
      <c r="D141" s="1"/>
      <c r="E141" s="1"/>
      <c r="F141" s="1" t="s">
        <v>30</v>
      </c>
      <c r="G141" s="1"/>
      <c r="H141" s="1"/>
      <c r="I141" s="2">
        <v>69463.25</v>
      </c>
    </row>
    <row r="142" spans="1:9" x14ac:dyDescent="0.3">
      <c r="A142" s="1"/>
      <c r="B142" s="1"/>
      <c r="C142" s="1"/>
      <c r="D142" s="1"/>
      <c r="E142" s="1"/>
      <c r="F142" s="1" t="s">
        <v>29</v>
      </c>
      <c r="G142" s="1"/>
      <c r="H142" s="1"/>
      <c r="I142" s="2">
        <v>15329.7</v>
      </c>
    </row>
    <row r="143" spans="1:9" x14ac:dyDescent="0.3">
      <c r="A143" s="1"/>
      <c r="B143" s="1"/>
      <c r="C143" s="1"/>
      <c r="D143" s="1"/>
      <c r="E143" s="1"/>
      <c r="F143" s="1" t="s">
        <v>28</v>
      </c>
      <c r="G143" s="1"/>
      <c r="H143" s="1"/>
      <c r="I143" s="2">
        <v>48645.65</v>
      </c>
    </row>
    <row r="144" spans="1:9" x14ac:dyDescent="0.3">
      <c r="A144" s="1"/>
      <c r="B144" s="1"/>
      <c r="C144" s="1"/>
      <c r="D144" s="1"/>
      <c r="E144" s="1"/>
      <c r="F144" s="1" t="s">
        <v>27</v>
      </c>
      <c r="G144" s="1"/>
      <c r="H144" s="1"/>
      <c r="I144" s="2"/>
    </row>
    <row r="145" spans="1:9" x14ac:dyDescent="0.3">
      <c r="A145" s="1"/>
      <c r="B145" s="1"/>
      <c r="C145" s="1"/>
      <c r="D145" s="1"/>
      <c r="E145" s="1"/>
      <c r="F145" s="1"/>
      <c r="G145" s="1" t="s">
        <v>26</v>
      </c>
      <c r="H145" s="1"/>
      <c r="I145" s="2">
        <v>200723.58</v>
      </c>
    </row>
    <row r="146" spans="1:9" x14ac:dyDescent="0.3">
      <c r="A146" s="1"/>
      <c r="B146" s="1"/>
      <c r="C146" s="1"/>
      <c r="D146" s="1"/>
      <c r="E146" s="1"/>
      <c r="F146" s="1"/>
      <c r="G146" s="1" t="s">
        <v>25</v>
      </c>
      <c r="H146" s="1"/>
      <c r="I146" s="2">
        <v>123168.12</v>
      </c>
    </row>
    <row r="147" spans="1:9" x14ac:dyDescent="0.3">
      <c r="A147" s="1"/>
      <c r="B147" s="1"/>
      <c r="C147" s="1"/>
      <c r="D147" s="1"/>
      <c r="E147" s="1"/>
      <c r="F147" s="1"/>
      <c r="G147" s="1" t="s">
        <v>24</v>
      </c>
      <c r="H147" s="1"/>
      <c r="I147" s="2">
        <v>146355.64000000001</v>
      </c>
    </row>
    <row r="148" spans="1:9" ht="15" thickBot="1" x14ac:dyDescent="0.35">
      <c r="A148" s="1"/>
      <c r="B148" s="1"/>
      <c r="C148" s="1"/>
      <c r="D148" s="1"/>
      <c r="E148" s="1"/>
      <c r="F148" s="1"/>
      <c r="G148" s="1" t="s">
        <v>164</v>
      </c>
      <c r="H148" s="1"/>
      <c r="I148" s="4">
        <v>-314.56</v>
      </c>
    </row>
    <row r="149" spans="1:9" x14ac:dyDescent="0.3">
      <c r="A149" s="1"/>
      <c r="B149" s="1"/>
      <c r="C149" s="1"/>
      <c r="D149" s="1"/>
      <c r="E149" s="1"/>
      <c r="F149" s="1" t="s">
        <v>23</v>
      </c>
      <c r="G149" s="1"/>
      <c r="H149" s="1"/>
      <c r="I149" s="2">
        <f>ROUND(SUM(I144:I148),5)</f>
        <v>469932.78</v>
      </c>
    </row>
    <row r="150" spans="1:9" x14ac:dyDescent="0.3">
      <c r="A150" s="1"/>
      <c r="B150" s="1"/>
      <c r="C150" s="1"/>
      <c r="D150" s="1"/>
      <c r="E150" s="1"/>
      <c r="F150" s="1" t="s">
        <v>22</v>
      </c>
      <c r="G150" s="1"/>
      <c r="H150" s="1"/>
      <c r="I150" s="2">
        <v>14665.67</v>
      </c>
    </row>
    <row r="151" spans="1:9" x14ac:dyDescent="0.3">
      <c r="A151" s="1"/>
      <c r="B151" s="1"/>
      <c r="C151" s="1"/>
      <c r="D151" s="1"/>
      <c r="E151" s="1"/>
      <c r="F151" s="1" t="s">
        <v>21</v>
      </c>
      <c r="G151" s="1"/>
      <c r="H151" s="1"/>
      <c r="I151" s="2">
        <v>9756.57</v>
      </c>
    </row>
    <row r="152" spans="1:9" x14ac:dyDescent="0.3">
      <c r="A152" s="1"/>
      <c r="B152" s="1"/>
      <c r="C152" s="1"/>
      <c r="D152" s="1"/>
      <c r="E152" s="1"/>
      <c r="F152" s="1" t="s">
        <v>20</v>
      </c>
      <c r="G152" s="1"/>
      <c r="H152" s="1"/>
      <c r="I152" s="2">
        <v>7159.2</v>
      </c>
    </row>
    <row r="153" spans="1:9" ht="15" thickBot="1" x14ac:dyDescent="0.35">
      <c r="A153" s="1"/>
      <c r="B153" s="1"/>
      <c r="C153" s="1"/>
      <c r="D153" s="1"/>
      <c r="E153" s="1"/>
      <c r="F153" s="1" t="s">
        <v>19</v>
      </c>
      <c r="G153" s="1"/>
      <c r="H153" s="1"/>
      <c r="I153" s="4">
        <v>3687.91</v>
      </c>
    </row>
    <row r="154" spans="1:9" x14ac:dyDescent="0.3">
      <c r="A154" s="1"/>
      <c r="B154" s="1"/>
      <c r="C154" s="1"/>
      <c r="D154" s="1"/>
      <c r="E154" s="1" t="s">
        <v>18</v>
      </c>
      <c r="F154" s="1"/>
      <c r="G154" s="1"/>
      <c r="H154" s="1"/>
      <c r="I154" s="2">
        <f>ROUND(SUM(I133:I143)+SUM(I149:I153),5)</f>
        <v>747348.74</v>
      </c>
    </row>
    <row r="155" spans="1:9" x14ac:dyDescent="0.3">
      <c r="A155" s="1"/>
      <c r="B155" s="1"/>
      <c r="C155" s="1"/>
      <c r="D155" s="1"/>
      <c r="E155" s="1" t="s">
        <v>17</v>
      </c>
      <c r="F155" s="1"/>
      <c r="G155" s="1"/>
      <c r="H155" s="1"/>
      <c r="I155" s="2"/>
    </row>
    <row r="156" spans="1:9" x14ac:dyDescent="0.3">
      <c r="A156" s="1"/>
      <c r="B156" s="1"/>
      <c r="C156" s="1"/>
      <c r="D156" s="1"/>
      <c r="E156" s="1"/>
      <c r="F156" s="1" t="s">
        <v>16</v>
      </c>
      <c r="G156" s="1"/>
      <c r="H156" s="1"/>
      <c r="I156" s="2">
        <v>12252.78</v>
      </c>
    </row>
    <row r="157" spans="1:9" ht="15" thickBot="1" x14ac:dyDescent="0.35">
      <c r="A157" s="1"/>
      <c r="B157" s="1"/>
      <c r="C157" s="1"/>
      <c r="D157" s="1"/>
      <c r="E157" s="1"/>
      <c r="F157" s="1" t="s">
        <v>163</v>
      </c>
      <c r="G157" s="1"/>
      <c r="H157" s="1"/>
      <c r="I157" s="4">
        <v>1427.03</v>
      </c>
    </row>
    <row r="158" spans="1:9" x14ac:dyDescent="0.3">
      <c r="A158" s="1"/>
      <c r="B158" s="1"/>
      <c r="C158" s="1"/>
      <c r="D158" s="1"/>
      <c r="E158" s="1" t="s">
        <v>15</v>
      </c>
      <c r="F158" s="1"/>
      <c r="G158" s="1"/>
      <c r="H158" s="1"/>
      <c r="I158" s="2">
        <f>ROUND(SUM(I155:I157),5)</f>
        <v>13679.81</v>
      </c>
    </row>
    <row r="159" spans="1:9" ht="15" thickBot="1" x14ac:dyDescent="0.35">
      <c r="A159" s="1"/>
      <c r="B159" s="1"/>
      <c r="C159" s="1"/>
      <c r="D159" s="1"/>
      <c r="E159" s="1" t="s">
        <v>162</v>
      </c>
      <c r="F159" s="1"/>
      <c r="G159" s="1"/>
      <c r="H159" s="1"/>
      <c r="I159" s="2">
        <v>5848</v>
      </c>
    </row>
    <row r="160" spans="1:9" ht="15" thickBot="1" x14ac:dyDescent="0.35">
      <c r="A160" s="1"/>
      <c r="B160" s="1"/>
      <c r="C160" s="1"/>
      <c r="D160" s="1" t="s">
        <v>14</v>
      </c>
      <c r="E160" s="1"/>
      <c r="F160" s="1"/>
      <c r="G160" s="1"/>
      <c r="H160" s="1"/>
      <c r="I160" s="3">
        <f>ROUND(I55+I76+I132+I154+SUM(I158:I159),5)</f>
        <v>2926608.67</v>
      </c>
    </row>
    <row r="161" spans="1:9" x14ac:dyDescent="0.3">
      <c r="A161" s="1"/>
      <c r="B161" s="1" t="s">
        <v>13</v>
      </c>
      <c r="C161" s="1"/>
      <c r="D161" s="1"/>
      <c r="E161" s="1"/>
      <c r="F161" s="1"/>
      <c r="G161" s="1"/>
      <c r="H161" s="1"/>
      <c r="I161" s="2">
        <f>ROUND(I2+I54-I160,5)</f>
        <v>346261.99</v>
      </c>
    </row>
    <row r="162" spans="1:9" x14ac:dyDescent="0.3">
      <c r="A162" s="1"/>
      <c r="B162" s="1" t="s">
        <v>12</v>
      </c>
      <c r="C162" s="1"/>
      <c r="D162" s="1"/>
      <c r="E162" s="1"/>
      <c r="F162" s="1"/>
      <c r="G162" s="1"/>
      <c r="H162" s="1"/>
      <c r="I162" s="2"/>
    </row>
    <row r="163" spans="1:9" x14ac:dyDescent="0.3">
      <c r="A163" s="1"/>
      <c r="B163" s="1"/>
      <c r="C163" s="1" t="s">
        <v>11</v>
      </c>
      <c r="D163" s="1"/>
      <c r="E163" s="1"/>
      <c r="F163" s="1"/>
      <c r="G163" s="1"/>
      <c r="H163" s="1"/>
      <c r="I163" s="2"/>
    </row>
    <row r="164" spans="1:9" x14ac:dyDescent="0.3">
      <c r="A164" s="1"/>
      <c r="B164" s="1"/>
      <c r="C164" s="1"/>
      <c r="D164" s="1" t="s">
        <v>10</v>
      </c>
      <c r="E164" s="1"/>
      <c r="F164" s="1"/>
      <c r="G164" s="1"/>
      <c r="H164" s="1"/>
      <c r="I164" s="2"/>
    </row>
    <row r="165" spans="1:9" x14ac:dyDescent="0.3">
      <c r="A165" s="1"/>
      <c r="B165" s="1"/>
      <c r="C165" s="1"/>
      <c r="D165" s="1"/>
      <c r="E165" s="1" t="s">
        <v>9</v>
      </c>
      <c r="F165" s="1"/>
      <c r="G165" s="1"/>
      <c r="H165" s="1"/>
      <c r="I165" s="2">
        <v>2217.73</v>
      </c>
    </row>
    <row r="166" spans="1:9" x14ac:dyDescent="0.3">
      <c r="A166" s="1"/>
      <c r="B166" s="1"/>
      <c r="C166" s="1"/>
      <c r="D166" s="1"/>
      <c r="E166" s="1" t="s">
        <v>8</v>
      </c>
      <c r="F166" s="1"/>
      <c r="G166" s="1"/>
      <c r="H166" s="1"/>
      <c r="I166" s="2">
        <v>2047.92</v>
      </c>
    </row>
    <row r="167" spans="1:9" ht="15" thickBot="1" x14ac:dyDescent="0.35">
      <c r="A167" s="1"/>
      <c r="B167" s="1"/>
      <c r="C167" s="1"/>
      <c r="D167" s="1"/>
      <c r="E167" s="1" t="s">
        <v>161</v>
      </c>
      <c r="F167" s="1"/>
      <c r="G167" s="1"/>
      <c r="H167" s="1"/>
      <c r="I167" s="2">
        <v>339300.39</v>
      </c>
    </row>
    <row r="168" spans="1:9" ht="15" thickBot="1" x14ac:dyDescent="0.35">
      <c r="A168" s="1"/>
      <c r="B168" s="1"/>
      <c r="C168" s="1"/>
      <c r="D168" s="1" t="s">
        <v>7</v>
      </c>
      <c r="E168" s="1"/>
      <c r="F168" s="1"/>
      <c r="G168" s="1"/>
      <c r="H168" s="1"/>
      <c r="I168" s="3">
        <f>ROUND(SUM(I164:I167),5)</f>
        <v>343566.04</v>
      </c>
    </row>
    <row r="169" spans="1:9" x14ac:dyDescent="0.3">
      <c r="A169" s="1"/>
      <c r="B169" s="1"/>
      <c r="C169" s="1" t="s">
        <v>6</v>
      </c>
      <c r="D169" s="1"/>
      <c r="E169" s="1"/>
      <c r="F169" s="1"/>
      <c r="G169" s="1"/>
      <c r="H169" s="1"/>
      <c r="I169" s="2">
        <f>ROUND(I163+I168,5)</f>
        <v>343566.04</v>
      </c>
    </row>
    <row r="170" spans="1:9" x14ac:dyDescent="0.3">
      <c r="A170" s="1"/>
      <c r="B170" s="1"/>
      <c r="C170" s="1" t="s">
        <v>5</v>
      </c>
      <c r="D170" s="1"/>
      <c r="E170" s="1"/>
      <c r="F170" s="1"/>
      <c r="G170" s="1"/>
      <c r="H170" s="1"/>
      <c r="I170" s="2"/>
    </row>
    <row r="171" spans="1:9" x14ac:dyDescent="0.3">
      <c r="A171" s="1"/>
      <c r="B171" s="1"/>
      <c r="C171" s="1"/>
      <c r="D171" s="1" t="s">
        <v>4</v>
      </c>
      <c r="E171" s="1"/>
      <c r="F171" s="1"/>
      <c r="G171" s="1"/>
      <c r="H171" s="1"/>
      <c r="I171" s="2">
        <v>70662.429999999993</v>
      </c>
    </row>
    <row r="172" spans="1:9" ht="15" thickBot="1" x14ac:dyDescent="0.35">
      <c r="A172" s="1"/>
      <c r="B172" s="1"/>
      <c r="C172" s="1"/>
      <c r="D172" s="1" t="s">
        <v>3</v>
      </c>
      <c r="E172" s="1"/>
      <c r="F172" s="1"/>
      <c r="G172" s="1"/>
      <c r="H172" s="1"/>
      <c r="I172" s="2">
        <v>69587.31</v>
      </c>
    </row>
    <row r="173" spans="1:9" ht="15" thickBot="1" x14ac:dyDescent="0.35">
      <c r="A173" s="1"/>
      <c r="B173" s="1"/>
      <c r="C173" s="1" t="s">
        <v>2</v>
      </c>
      <c r="D173" s="1"/>
      <c r="E173" s="1"/>
      <c r="F173" s="1"/>
      <c r="G173" s="1"/>
      <c r="H173" s="1"/>
      <c r="I173" s="5">
        <f>ROUND(SUM(I170:I172),5)</f>
        <v>140249.74</v>
      </c>
    </row>
    <row r="174" spans="1:9" ht="15" thickBot="1" x14ac:dyDescent="0.35">
      <c r="A174" s="1"/>
      <c r="B174" s="1" t="s">
        <v>1</v>
      </c>
      <c r="C174" s="1"/>
      <c r="D174" s="1"/>
      <c r="E174" s="1"/>
      <c r="F174" s="1"/>
      <c r="G174" s="1"/>
      <c r="H174" s="1"/>
      <c r="I174" s="5">
        <f>ROUND(I162+I169-I173,5)</f>
        <v>203316.3</v>
      </c>
    </row>
    <row r="175" spans="1:9" s="7" customFormat="1" thickBot="1" x14ac:dyDescent="0.35">
      <c r="A175" s="1" t="s">
        <v>0</v>
      </c>
      <c r="B175" s="1"/>
      <c r="C175" s="1"/>
      <c r="D175" s="1"/>
      <c r="E175" s="1"/>
      <c r="F175" s="1"/>
      <c r="G175" s="1"/>
      <c r="H175" s="1"/>
      <c r="I175" s="6">
        <f>ROUND(I161+I174,5)</f>
        <v>549578.29</v>
      </c>
    </row>
    <row r="176" spans="1:9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5:03 PM
&amp;"Calibri,Regular"&amp;10 05/14/26&amp;C&amp;"Calibri,Regular"&amp;12 Live Marketing, LLC
&amp;"Calibri,Regular"&amp;14 Profit &amp;&amp; Loss
&amp;"Calibri,Regular"&amp;10 January through December 2024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5121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5121" r:id="rId4" name="FILTER"/>
      </mc:Fallback>
    </mc:AlternateContent>
    <mc:AlternateContent xmlns:mc="http://schemas.openxmlformats.org/markup-compatibility/2006">
      <mc:Choice Requires="x14">
        <control shapeId="5122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5122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PL24</vt:lpstr>
      <vt:lpstr>'PL24'!Print_Titles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Malriat</dc:creator>
  <cp:lastModifiedBy>Matthew Malriat</cp:lastModifiedBy>
  <dcterms:created xsi:type="dcterms:W3CDTF">2026-05-14T16:53:50Z</dcterms:created>
  <dcterms:modified xsi:type="dcterms:W3CDTF">2026-05-22T11:14:09Z</dcterms:modified>
</cp:coreProperties>
</file>